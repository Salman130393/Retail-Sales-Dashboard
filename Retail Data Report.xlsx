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Salman\Salman working data\Data\Data\Scheme Data\Project\Retail Data\"/>
    </mc:Choice>
  </mc:AlternateContent>
  <xr:revisionPtr revIDLastSave="0" documentId="13_ncr:1_{263D5784-F957-47B5-AA21-1909DE09068F}" xr6:coauthVersionLast="47" xr6:coauthVersionMax="47" xr10:uidLastSave="{00000000-0000-0000-0000-000000000000}"/>
  <bookViews>
    <workbookView xWindow="-108" yWindow="-108" windowWidth="23256" windowHeight="13896" xr2:uid="{02E1C709-5D42-4718-86F5-E2D86C6ED8BB}"/>
  </bookViews>
  <sheets>
    <sheet name="Dashboard" sheetId="2" r:id="rId1"/>
    <sheet name="Sheet1" sheetId="1" r:id="rId2"/>
  </sheets>
  <definedNames>
    <definedName name="Slicer_Month_Name">#N/A</definedName>
    <definedName name="Slicer_payment_method">#N/A</definedName>
    <definedName name="Slicer_product_category">#N/A</definedName>
    <definedName name="Slicer_region">#N/A</definedName>
    <definedName name="Slicer_Years">#N/A</definedName>
  </definedNames>
  <calcPr calcId="191029"/>
  <pivotCaches>
    <pivotCache cacheId="812" r:id="rId3"/>
    <pivotCache cacheId="815" r:id="rId4"/>
    <pivotCache cacheId="818" r:id="rId5"/>
    <pivotCache cacheId="821" r:id="rId6"/>
    <pivotCache cacheId="824" r:id="rId7"/>
  </pivotCaches>
  <extLst>
    <ext xmlns:x14="http://schemas.microsoft.com/office/spreadsheetml/2009/9/main" uri="{876F7934-8845-4945-9796-88D515C7AA90}">
      <x14:pivotCaches>
        <pivotCache cacheId="808" r:id="rId8"/>
        <pivotCache cacheId="809"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d503c57-2fe6-4b1f-a61a-32576bcfd746" name="Sheet1" connection="Query - Sheet1"/>
        </x15:modelTables>
        <x15:extLst>
          <ext xmlns:x16="http://schemas.microsoft.com/office/spreadsheetml/2014/11/main" uri="{9835A34E-60A6-4A7C-AAB8-D5F71C897F49}">
            <x16:modelTimeGroupings>
              <x16:modelTimeGrouping tableName="Sheet1" columnName="order_date" columnId="order_date">
                <x16:calculatedTimeColumn columnName="Years" columnId="order_date (Year)" contentType="years" isSelected="1"/>
                <x16:calculatedTimeColumn columnName="Quarter" columnId="order_date (Quarter)" contentType="quarters" isSelected="1"/>
                <x16:calculatedTimeColumn columnName="Month Index" columnId="order_date (Month Index)" contentType="monthsindex" isSelected="1"/>
                <x16:calculatedTimeColumn columnName="Month Name"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B98443-ED66-4F2D-B1DB-55602E2C3BB1}" name="Query - Sheet1" description="Connection to the 'Sheet1' query in the workbook." type="100" refreshedVersion="8" minRefreshableVersion="5">
    <extLst>
      <ext xmlns:x15="http://schemas.microsoft.com/office/spreadsheetml/2010/11/main" uri="{DE250136-89BD-433C-8126-D09CA5730AF9}">
        <x15:connection id="71ec7e5d-03f9-419a-9213-b3d703f4de99"/>
      </ext>
    </extLst>
  </connection>
  <connection id="2" xr16:uid="{E84AD7A4-689B-4F35-8EE3-9D38FF0FBEA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<sst xmlns="http://schemas.openxmlformats.org/spreadsheetml/2006/main" count="51" uniqueCount="42">
  <si>
    <t>Grand Total</t>
  </si>
  <si>
    <t>Jan</t>
  </si>
  <si>
    <t>Feb</t>
  </si>
  <si>
    <t>Mar</t>
  </si>
  <si>
    <t>Apr</t>
  </si>
  <si>
    <t>May</t>
  </si>
  <si>
    <t>Jun</t>
  </si>
  <si>
    <t>Jul</t>
  </si>
  <si>
    <t>Aug</t>
  </si>
  <si>
    <t>Sep</t>
  </si>
  <si>
    <t>Oct</t>
  </si>
  <si>
    <t>Nov</t>
  </si>
  <si>
    <t>Dec</t>
  </si>
  <si>
    <t>Total Sales</t>
  </si>
  <si>
    <t>Total Profit</t>
  </si>
  <si>
    <t>Total Orders</t>
  </si>
  <si>
    <t>Total Quantity</t>
  </si>
  <si>
    <t>Profit Margin%</t>
  </si>
  <si>
    <t>Average Order Value</t>
  </si>
  <si>
    <t>Return Rate %</t>
  </si>
  <si>
    <t>Average Discount %</t>
  </si>
  <si>
    <t>Average Shipping Days</t>
  </si>
  <si>
    <t>Average Customer Satisfaction</t>
  </si>
  <si>
    <t>Total Customers</t>
  </si>
  <si>
    <t>Central</t>
  </si>
  <si>
    <t>East</t>
  </si>
  <si>
    <t>North</t>
  </si>
  <si>
    <t>South</t>
  </si>
  <si>
    <t>West</t>
  </si>
  <si>
    <t>Zone</t>
  </si>
  <si>
    <t>Row Labels</t>
  </si>
  <si>
    <t>Cash On Delivery</t>
  </si>
  <si>
    <t>Credit Card</t>
  </si>
  <si>
    <t>Debit Card</t>
  </si>
  <si>
    <t>Emi</t>
  </si>
  <si>
    <t>Net Banking</t>
  </si>
  <si>
    <t>Upi</t>
  </si>
  <si>
    <t>Amritsar</t>
  </si>
  <si>
    <t>Chennai</t>
  </si>
  <si>
    <t>Hyderabad</t>
  </si>
  <si>
    <t>Kochi</t>
  </si>
  <si>
    <t>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</si>
</sst>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0.00%;\-#,##0.00%;#,##0.00%"/>
    <numFmt numFmtId="166" formatCode="#.0,,&quot;M&quot;"/>
    <numFmt numFmtId="167" formatCode="#,##0,&quot;K&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4"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16">
    <dxf>
      <numFmt numFmtId="166" formatCode="#.0,,&quot;M&quot;"/>
    </dxf>
    <dxf>
      <numFmt numFmtId="166" formatCode="#.0,,&quot;M&quot;"/>
    </dxf>
    <dxf>
      <numFmt numFmtId="166" formatCode="#.0,,&quot;M&quot;"/>
    </dxf>
    <dxf>
      <numFmt numFmtId="166" formatCode="#.0,,&quot;M&quot;"/>
    </dxf>
    <dxf>
      <numFmt numFmtId="167" formatCode="#,##0,&quot;K&quot;"/>
    </dxf>
    <dxf>
      <numFmt numFmtId="0" formatCode="General"/>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0" formatCode="General"/>
    </dxf>
    <dxf>
      <numFmt numFmtId="167" formatCode="#,##0,&quot;K&quot;"/>
    </dxf>
    <dxf>
      <numFmt numFmtId="166" formatCode="#.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5.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Report.xlsx]Sheet1!PivotTable3</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Zone</a:t>
            </a:r>
            <a:endParaRPr lang="en-US" sz="1100" b="1"/>
          </a:p>
        </c:rich>
      </c:tx>
      <c:layout>
        <c:manualLayout>
          <c:xMode val="edge"/>
          <c:yMode val="edge"/>
          <c:x val="3.4604111986001759E-2"/>
          <c:y val="4.123376623376623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28A8F7B6-1380-4594-80EB-B93836B964C9}" type="VALUE">
                  <a:rPr lang="en-US" sz="800"/>
                  <a:pPr>
                    <a:defRPr sz="8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D80BEE7F-4B28-4295-90B6-FB32C19DC803}" type="VALUE">
                  <a:rPr lang="en-US" sz="800"/>
                  <a:pPr>
                    <a:defRPr sz="8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9443837768454123"/>
          <c:y val="0.11740680403455317"/>
          <c:w val="0.43545446417737937"/>
          <c:h val="0.68571565048621808"/>
        </c:manualLayout>
      </c:layout>
      <c:doughnutChart>
        <c:varyColors val="1"/>
        <c:ser>
          <c:idx val="0"/>
          <c:order val="0"/>
          <c:tx>
            <c:strRef>
              <c:f>Sheet1!$B$7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4D-4870-9535-40768CF519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4D-4870-9535-40768CF519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4D-4870-9535-40768CF519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4D-4870-9535-40768CF519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4D-4870-9535-40768CF519DD}"/>
              </c:ext>
            </c:extLst>
          </c:dPt>
          <c:dLbls>
            <c:dLbl>
              <c:idx val="0"/>
              <c:tx>
                <c:rich>
                  <a:bodyPr/>
                  <a:lstStyle/>
                  <a:p>
                    <a:fld id="{28A8F7B6-1380-4594-80EB-B93836B964C9}"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74D-4870-9535-40768CF519DD}"/>
                </c:ext>
              </c:extLst>
            </c:dLbl>
            <c:dLbl>
              <c:idx val="1"/>
              <c:tx>
                <c:rich>
                  <a:bodyPr/>
                  <a:lstStyle/>
                  <a:p>
                    <a:fld id="{D80BEE7F-4B28-4295-90B6-FB32C19DC803}"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74D-4870-9535-40768CF519D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Sheet1!$A$8:$A$13</c:f>
              <c:strCache>
                <c:ptCount val="5"/>
                <c:pt idx="0">
                  <c:v>Central</c:v>
                </c:pt>
                <c:pt idx="1">
                  <c:v>East</c:v>
                </c:pt>
                <c:pt idx="2">
                  <c:v>North</c:v>
                </c:pt>
                <c:pt idx="3">
                  <c:v>South</c:v>
                </c:pt>
                <c:pt idx="4">
                  <c:v>West</c:v>
                </c:pt>
              </c:strCache>
            </c:strRef>
          </c:cat>
          <c:val>
            <c:numRef>
              <c:f>Sheet1!$B$8:$B$13</c:f>
              <c:numCache>
                <c:formatCode>#.0,,"M"</c:formatCode>
                <c:ptCount val="5"/>
                <c:pt idx="0">
                  <c:v>40673510.539999999</c:v>
                </c:pt>
                <c:pt idx="1">
                  <c:v>48501551.850000001</c:v>
                </c:pt>
                <c:pt idx="2">
                  <c:v>53613030.159999996</c:v>
                </c:pt>
                <c:pt idx="3">
                  <c:v>73519093.829999998</c:v>
                </c:pt>
                <c:pt idx="4">
                  <c:v>47962618.159999996</c:v>
                </c:pt>
              </c:numCache>
            </c:numRef>
          </c:val>
          <c:extLst>
            <c:ext xmlns:c16="http://schemas.microsoft.com/office/drawing/2014/chart" uri="{C3380CC4-5D6E-409C-BE32-E72D297353CC}">
              <c16:uniqueId val="{0000000A-874D-4870-9535-40768CF519DD}"/>
            </c:ext>
          </c:extLst>
        </c:ser>
        <c:dLbls>
          <c:showLegendKey val="0"/>
          <c:showVal val="0"/>
          <c:showCatName val="0"/>
          <c:showSerName val="0"/>
          <c:showPercent val="0"/>
          <c:showBubbleSize val="0"/>
          <c:showLeaderLines val="1"/>
        </c:dLbls>
        <c:firstSliceAng val="1"/>
        <c:holeSize val="2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Report.xlsx]Sheet1!PivotTable4</c:name>
    <c:fmtId val="13"/>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Sales</a:t>
            </a:r>
            <a:r>
              <a:rPr lang="en-US" sz="800" b="1" baseline="0"/>
              <a:t> Trand (Monthly)</a:t>
            </a:r>
            <a:endParaRPr lang="en-US" sz="800" b="1"/>
          </a:p>
        </c:rich>
      </c:tx>
      <c:layout>
        <c:manualLayout>
          <c:xMode val="edge"/>
          <c:yMode val="edge"/>
          <c:x val="2.5401412973667298E-2"/>
          <c:y val="3.8167938931297711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Sheet1!$E$7</c:f>
              <c:strCache>
                <c:ptCount val="1"/>
                <c:pt idx="0">
                  <c:v>Total</c:v>
                </c:pt>
              </c:strCache>
            </c:strRef>
          </c:tx>
          <c:spPr>
            <a:solidFill>
              <a:schemeClr val="accent1"/>
            </a:solidFill>
            <a:ln w="25400">
              <a:noFill/>
            </a:ln>
            <a:effectLst/>
          </c:spPr>
          <c:cat>
            <c:strRef>
              <c:f>Sheet1!$D$8:$D$20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Sheet1!$E$8:$E$20</c:f>
              <c:numCache>
                <c:formatCode>#.0,,"M"</c:formatCode>
                <c:ptCount val="12"/>
                <c:pt idx="0">
                  <c:v>32958284.199999999</c:v>
                </c:pt>
                <c:pt idx="1">
                  <c:v>16621823.48</c:v>
                </c:pt>
                <c:pt idx="2">
                  <c:v>18552353.550000001</c:v>
                </c:pt>
                <c:pt idx="3">
                  <c:v>28370148.100000001</c:v>
                </c:pt>
                <c:pt idx="4">
                  <c:v>24395339.77</c:v>
                </c:pt>
                <c:pt idx="5">
                  <c:v>24853621.530000001</c:v>
                </c:pt>
                <c:pt idx="6">
                  <c:v>27063108.960000001</c:v>
                </c:pt>
                <c:pt idx="7">
                  <c:v>27690111.359999999</c:v>
                </c:pt>
                <c:pt idx="8">
                  <c:v>19418102.449999999</c:v>
                </c:pt>
                <c:pt idx="9">
                  <c:v>15961048.84</c:v>
                </c:pt>
                <c:pt idx="10">
                  <c:v>14595267.27</c:v>
                </c:pt>
                <c:pt idx="11">
                  <c:v>13790595.029999999</c:v>
                </c:pt>
              </c:numCache>
            </c:numRef>
          </c:val>
          <c:extLst>
            <c:ext xmlns:c16="http://schemas.microsoft.com/office/drawing/2014/chart" uri="{C3380CC4-5D6E-409C-BE32-E72D297353CC}">
              <c16:uniqueId val="{00000000-17D7-4387-90E7-A7481DA18216}"/>
            </c:ext>
          </c:extLst>
        </c:ser>
        <c:dLbls>
          <c:showLegendKey val="0"/>
          <c:showVal val="0"/>
          <c:showCatName val="0"/>
          <c:showSerName val="0"/>
          <c:showPercent val="0"/>
          <c:showBubbleSize val="0"/>
        </c:dLbls>
        <c:axId val="39417296"/>
        <c:axId val="904268303"/>
      </c:areaChart>
      <c:catAx>
        <c:axId val="3941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268303"/>
        <c:crosses val="autoZero"/>
        <c:auto val="1"/>
        <c:lblAlgn val="ctr"/>
        <c:lblOffset val="100"/>
        <c:noMultiLvlLbl val="0"/>
      </c:catAx>
      <c:valAx>
        <c:axId val="904268303"/>
        <c:scaling>
          <c:orientation val="minMax"/>
        </c:scaling>
        <c:delete val="0"/>
        <c:axPos val="l"/>
        <c:majorGridlines>
          <c:spPr>
            <a:ln w="9525" cap="flat" cmpd="sng" algn="ctr">
              <a:no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Report.xlsx]Sheet1!PivotTable7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Cities by sales</a:t>
            </a:r>
            <a:endParaRPr lang="en-US"/>
          </a:p>
        </c:rich>
      </c:tx>
      <c:layout>
        <c:manualLayout>
          <c:xMode val="edge"/>
          <c:yMode val="edge"/>
          <c:x val="0.3853818897637795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Sheet1!$H$7</c:f>
              <c:strCache>
                <c:ptCount val="1"/>
                <c:pt idx="0">
                  <c:v>Total</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Sheet1!$G$8:$G$13</c:f>
              <c:strCache>
                <c:ptCount val="5"/>
                <c:pt idx="0">
                  <c:v>Kochi</c:v>
                </c:pt>
                <c:pt idx="1">
                  <c:v>Amritsar</c:v>
                </c:pt>
                <c:pt idx="2">
                  <c:v>Chennai</c:v>
                </c:pt>
                <c:pt idx="3">
                  <c:v>Hyderabad</c:v>
                </c:pt>
                <c:pt idx="4">
                  <c:v>Mumbai</c:v>
                </c:pt>
              </c:strCache>
            </c:strRef>
          </c:cat>
          <c:val>
            <c:numRef>
              <c:f>Sheet1!$H$8:$H$13</c:f>
              <c:numCache>
                <c:formatCode>#.0,,"M"</c:formatCode>
                <c:ptCount val="5"/>
                <c:pt idx="0">
                  <c:v>28569749.5</c:v>
                </c:pt>
                <c:pt idx="1">
                  <c:v>20597017.920000002</c:v>
                </c:pt>
                <c:pt idx="2">
                  <c:v>19862008.190000001</c:v>
                </c:pt>
                <c:pt idx="3">
                  <c:v>13621666.84</c:v>
                </c:pt>
                <c:pt idx="4">
                  <c:v>13476961.279999999</c:v>
                </c:pt>
              </c:numCache>
            </c:numRef>
          </c:val>
          <c:extLst>
            <c:ext xmlns:c16="http://schemas.microsoft.com/office/drawing/2014/chart" uri="{C3380CC4-5D6E-409C-BE32-E72D297353CC}">
              <c16:uniqueId val="{00000000-2631-4CFA-A99A-D3F04C849F37}"/>
            </c:ext>
          </c:extLst>
        </c:ser>
        <c:dLbls>
          <c:showLegendKey val="0"/>
          <c:showVal val="0"/>
          <c:showCatName val="0"/>
          <c:showSerName val="0"/>
          <c:showPercent val="0"/>
          <c:showBubbleSize val="0"/>
        </c:dLbls>
        <c:gapWidth val="54"/>
        <c:axId val="648870639"/>
        <c:axId val="101367023"/>
      </c:barChart>
      <c:catAx>
        <c:axId val="6488706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67023"/>
        <c:crosses val="autoZero"/>
        <c:auto val="1"/>
        <c:lblAlgn val="ctr"/>
        <c:lblOffset val="100"/>
        <c:noMultiLvlLbl val="0"/>
      </c:catAx>
      <c:valAx>
        <c:axId val="101367023"/>
        <c:scaling>
          <c:orientation val="minMax"/>
        </c:scaling>
        <c:delete val="1"/>
        <c:axPos val="b"/>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crossAx val="6488706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29</xdr:row>
      <xdr:rowOff>114300</xdr:rowOff>
    </xdr:to>
    <xdr:grpSp>
      <xdr:nvGrpSpPr>
        <xdr:cNvPr id="6" name="Group 5">
          <a:extLst>
            <a:ext uri="{FF2B5EF4-FFF2-40B4-BE49-F238E27FC236}">
              <a16:creationId xmlns:a16="http://schemas.microsoft.com/office/drawing/2014/main" id="{4F2ADBCA-8814-DF35-49D0-6E8F3C14E07A}"/>
            </a:ext>
          </a:extLst>
        </xdr:cNvPr>
        <xdr:cNvGrpSpPr/>
      </xdr:nvGrpSpPr>
      <xdr:grpSpPr>
        <a:xfrm>
          <a:off x="0" y="0"/>
          <a:ext cx="11132820" cy="5417820"/>
          <a:chOff x="0" y="0"/>
          <a:chExt cx="10995660" cy="5417820"/>
        </a:xfrm>
      </xdr:grpSpPr>
      <xdr:sp macro="" textlink="">
        <xdr:nvSpPr>
          <xdr:cNvPr id="2" name="Rectangle 1">
            <a:extLst>
              <a:ext uri="{FF2B5EF4-FFF2-40B4-BE49-F238E27FC236}">
                <a16:creationId xmlns:a16="http://schemas.microsoft.com/office/drawing/2014/main" id="{A8FB8574-A2BA-D25A-0E08-57E20847E53A}"/>
              </a:ext>
            </a:extLst>
          </xdr:cNvPr>
          <xdr:cNvSpPr/>
        </xdr:nvSpPr>
        <xdr:spPr>
          <a:xfrm>
            <a:off x="22860" y="7620"/>
            <a:ext cx="10843260" cy="548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B3FDC9B6-2892-4C2C-6FFC-B2319D61E0A6}"/>
              </a:ext>
            </a:extLst>
          </xdr:cNvPr>
          <xdr:cNvSpPr txBox="1"/>
        </xdr:nvSpPr>
        <xdr:spPr>
          <a:xfrm>
            <a:off x="0" y="0"/>
            <a:ext cx="10850880" cy="5715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2000"/>
              <a:t>RETAIL DATA PERFORMANCE DASHBOARD</a:t>
            </a:r>
            <a:endParaRPr lang="en-US" sz="2000" b="1">
              <a:solidFill>
                <a:schemeClr val="bg1"/>
              </a:solidFill>
            </a:endParaRPr>
          </a:p>
        </xdr:txBody>
      </xdr:sp>
      <mc:AlternateContent xmlns:mc="http://schemas.openxmlformats.org/markup-compatibility/2006">
        <mc:Choice xmlns:a14="http://schemas.microsoft.com/office/drawing/2010/main" Requires="a14">
          <xdr:graphicFrame macro="">
            <xdr:nvGraphicFramePr>
              <xdr:cNvPr id="4" name="Years">
                <a:extLst>
                  <a:ext uri="{FF2B5EF4-FFF2-40B4-BE49-F238E27FC236}">
                    <a16:creationId xmlns:a16="http://schemas.microsoft.com/office/drawing/2014/main" id="{7FBB291A-5459-426B-BFEF-A6209B811B7C}"/>
                  </a:ext>
                </a:extLst>
              </xdr:cNvPr>
              <xdr:cNvGraphicFramePr/>
            </xdr:nvGraphicFramePr>
            <xdr:xfrm>
              <a:off x="7277100" y="579121"/>
              <a:ext cx="1501140" cy="731519"/>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367875" y="579121"/>
                <a:ext cx="1519865" cy="731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69DBF8C7-BD08-42DE-AF3E-0E4455AD3681}"/>
                  </a:ext>
                </a:extLst>
              </xdr:cNvPr>
              <xdr:cNvGraphicFramePr/>
            </xdr:nvGraphicFramePr>
            <xdr:xfrm>
              <a:off x="8778240" y="571501"/>
              <a:ext cx="2103120" cy="731519"/>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8887740" y="571501"/>
                <a:ext cx="2129354" cy="731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Arrow: Right 6">
            <a:extLst>
              <a:ext uri="{FF2B5EF4-FFF2-40B4-BE49-F238E27FC236}">
                <a16:creationId xmlns:a16="http://schemas.microsoft.com/office/drawing/2014/main" id="{814EE95C-EE4E-0F84-3DAF-43EEFB93C9CE}"/>
              </a:ext>
            </a:extLst>
          </xdr:cNvPr>
          <xdr:cNvSpPr/>
        </xdr:nvSpPr>
        <xdr:spPr>
          <a:xfrm>
            <a:off x="236220" y="769620"/>
            <a:ext cx="563880" cy="320040"/>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 name="Rectangle 7">
            <a:extLst>
              <a:ext uri="{FF2B5EF4-FFF2-40B4-BE49-F238E27FC236}">
                <a16:creationId xmlns:a16="http://schemas.microsoft.com/office/drawing/2014/main" id="{8F09CF86-2F57-1173-53B6-D39F651414CF}"/>
              </a:ext>
            </a:extLst>
          </xdr:cNvPr>
          <xdr:cNvSpPr/>
        </xdr:nvSpPr>
        <xdr:spPr>
          <a:xfrm>
            <a:off x="99060" y="624840"/>
            <a:ext cx="180594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chemeClr val="tx1"/>
              </a:solidFill>
            </a:endParaRPr>
          </a:p>
        </xdr:txBody>
      </xdr:sp>
      <xdr:sp macro="" textlink="">
        <xdr:nvSpPr>
          <xdr:cNvPr id="9" name="Rectangle 8">
            <a:extLst>
              <a:ext uri="{FF2B5EF4-FFF2-40B4-BE49-F238E27FC236}">
                <a16:creationId xmlns:a16="http://schemas.microsoft.com/office/drawing/2014/main" id="{4FF53277-16BD-2DE0-67CC-22F11E9A9440}"/>
              </a:ext>
            </a:extLst>
          </xdr:cNvPr>
          <xdr:cNvSpPr/>
        </xdr:nvSpPr>
        <xdr:spPr>
          <a:xfrm>
            <a:off x="83820" y="1310640"/>
            <a:ext cx="10820400" cy="320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2E8F83B3-EAA1-3FE7-C87F-EA28664194B6}"/>
              </a:ext>
            </a:extLst>
          </xdr:cNvPr>
          <xdr:cNvSpPr/>
        </xdr:nvSpPr>
        <xdr:spPr>
          <a:xfrm>
            <a:off x="0" y="1295400"/>
            <a:ext cx="10904220" cy="335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Quick</a:t>
            </a:r>
            <a:r>
              <a:rPr lang="en-US" sz="1200" b="1" baseline="0"/>
              <a:t> Summary | Key Performance Indicators</a:t>
            </a:r>
            <a:endParaRPr lang="en-US" sz="1200" b="1"/>
          </a:p>
        </xdr:txBody>
      </xdr:sp>
      <mc:AlternateContent xmlns:mc="http://schemas.openxmlformats.org/markup-compatibility/2006">
        <mc:Choice xmlns:a14="http://schemas.microsoft.com/office/drawing/2010/main" Requires="a14">
          <xdr:graphicFrame macro="">
            <xdr:nvGraphicFramePr>
              <xdr:cNvPr id="12" name="payment_method 1">
                <a:extLst>
                  <a:ext uri="{FF2B5EF4-FFF2-40B4-BE49-F238E27FC236}">
                    <a16:creationId xmlns:a16="http://schemas.microsoft.com/office/drawing/2014/main" id="{484E74E5-7CDF-493E-A4B7-97FB8CECE23A}"/>
                  </a:ext>
                </a:extLst>
              </xdr:cNvPr>
              <xdr:cNvGraphicFramePr/>
            </xdr:nvGraphicFramePr>
            <xdr:xfrm>
              <a:off x="4655820" y="579121"/>
              <a:ext cx="2621280" cy="716279"/>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4713897" y="579121"/>
                <a:ext cx="2653978" cy="71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product_category 1">
                <a:extLst>
                  <a:ext uri="{FF2B5EF4-FFF2-40B4-BE49-F238E27FC236}">
                    <a16:creationId xmlns:a16="http://schemas.microsoft.com/office/drawing/2014/main" id="{ED1B175C-215C-4058-B145-C7AD184871E4}"/>
                  </a:ext>
                </a:extLst>
              </xdr:cNvPr>
              <xdr:cNvGraphicFramePr/>
            </xdr:nvGraphicFramePr>
            <xdr:xfrm>
              <a:off x="2667000" y="571501"/>
              <a:ext cx="1988820" cy="723899"/>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2700268" y="571501"/>
                <a:ext cx="2013629"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99F5BDCB-6263-4CB8-8581-14B9B162A686}"/>
                  </a:ext>
                </a:extLst>
              </xdr:cNvPr>
              <xdr:cNvGraphicFramePr/>
            </xdr:nvGraphicFramePr>
            <xdr:xfrm>
              <a:off x="1074420" y="571501"/>
              <a:ext cx="1615440" cy="71627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87822" y="571501"/>
                <a:ext cx="1635591" cy="71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heet1!J1">
        <xdr:nvSpPr>
          <xdr:cNvPr id="19" name="TextBox 18">
            <a:extLst>
              <a:ext uri="{FF2B5EF4-FFF2-40B4-BE49-F238E27FC236}">
                <a16:creationId xmlns:a16="http://schemas.microsoft.com/office/drawing/2014/main" id="{405B32E6-36E5-3C59-4F64-B59D8B63B2C2}"/>
              </a:ext>
            </a:extLst>
          </xdr:cNvPr>
          <xdr:cNvSpPr txBox="1"/>
        </xdr:nvSpPr>
        <xdr:spPr>
          <a:xfrm>
            <a:off x="0" y="183642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1CF13D-7142-40BE-A027-5A6B704A584D}" type="TxLink">
              <a:rPr lang="en-US" sz="1200" b="1" i="0" u="none" strike="noStrike">
                <a:solidFill>
                  <a:srgbClr val="000000"/>
                </a:solidFill>
                <a:latin typeface="Aptos Narrow"/>
              </a:rPr>
              <a:pPr algn="ctr"/>
              <a:t>Total Sales</a:t>
            </a:fld>
            <a:endParaRPr lang="en-US" sz="1400" b="1"/>
          </a:p>
        </xdr:txBody>
      </xdr:sp>
      <xdr:sp macro="" textlink="Sheet1!J2">
        <xdr:nvSpPr>
          <xdr:cNvPr id="22" name="TextBox 21">
            <a:extLst>
              <a:ext uri="{FF2B5EF4-FFF2-40B4-BE49-F238E27FC236}">
                <a16:creationId xmlns:a16="http://schemas.microsoft.com/office/drawing/2014/main" id="{4A8420DF-BBBF-487C-8DC0-B302359CFE6D}"/>
              </a:ext>
            </a:extLst>
          </xdr:cNvPr>
          <xdr:cNvSpPr txBox="1"/>
        </xdr:nvSpPr>
        <xdr:spPr>
          <a:xfrm>
            <a:off x="0" y="164592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25DA6-2930-46B6-8655-9E427409242D}" type="TxLink">
              <a:rPr lang="en-US" sz="1600" b="1" i="0" u="none" strike="noStrike">
                <a:solidFill>
                  <a:srgbClr val="000000"/>
                </a:solidFill>
                <a:latin typeface="Aptos Narrow"/>
              </a:rPr>
              <a:pPr algn="ctr"/>
              <a:t>264.3M</a:t>
            </a:fld>
            <a:endParaRPr lang="en-US" sz="1600" b="1"/>
          </a:p>
        </xdr:txBody>
      </xdr:sp>
      <xdr:sp macro="" textlink="Sheet1!K1">
        <xdr:nvSpPr>
          <xdr:cNvPr id="23" name="TextBox 22">
            <a:extLst>
              <a:ext uri="{FF2B5EF4-FFF2-40B4-BE49-F238E27FC236}">
                <a16:creationId xmlns:a16="http://schemas.microsoft.com/office/drawing/2014/main" id="{A1DE1954-B466-4375-80B2-EFD8ACB1DE1E}"/>
              </a:ext>
            </a:extLst>
          </xdr:cNvPr>
          <xdr:cNvSpPr txBox="1"/>
        </xdr:nvSpPr>
        <xdr:spPr>
          <a:xfrm>
            <a:off x="1478280" y="18440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5BCE6-7C01-4EC6-99F0-CA407B2F19EB}" type="TxLink">
              <a:rPr lang="en-US" sz="1200" b="1" i="0" u="none" strike="noStrike">
                <a:solidFill>
                  <a:srgbClr val="000000"/>
                </a:solidFill>
                <a:latin typeface="Aptos Narrow"/>
              </a:rPr>
              <a:pPr algn="ctr"/>
              <a:t>Total Profit</a:t>
            </a:fld>
            <a:endParaRPr lang="en-US" sz="2000" b="1"/>
          </a:p>
        </xdr:txBody>
      </xdr:sp>
      <xdr:sp macro="" textlink="Sheet1!K2">
        <xdr:nvSpPr>
          <xdr:cNvPr id="24" name="TextBox 23">
            <a:extLst>
              <a:ext uri="{FF2B5EF4-FFF2-40B4-BE49-F238E27FC236}">
                <a16:creationId xmlns:a16="http://schemas.microsoft.com/office/drawing/2014/main" id="{24631C68-EF0F-4E1D-8126-4AE16EDB19FB}"/>
              </a:ext>
            </a:extLst>
          </xdr:cNvPr>
          <xdr:cNvSpPr txBox="1"/>
        </xdr:nvSpPr>
        <xdr:spPr>
          <a:xfrm>
            <a:off x="1417320" y="163068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29528B-5150-4878-B108-86153B177837}" type="TxLink">
              <a:rPr lang="en-US" sz="1600" b="1" i="0" u="none" strike="noStrike">
                <a:solidFill>
                  <a:srgbClr val="000000"/>
                </a:solidFill>
                <a:latin typeface="Aptos Narrow"/>
              </a:rPr>
              <a:pPr algn="ctr"/>
              <a:t>49.5M</a:t>
            </a:fld>
            <a:endParaRPr lang="en-US" sz="2400" b="1"/>
          </a:p>
        </xdr:txBody>
      </xdr:sp>
      <xdr:sp macro="" textlink="Sheet1!B2">
        <xdr:nvSpPr>
          <xdr:cNvPr id="25" name="TextBox 24">
            <a:extLst>
              <a:ext uri="{FF2B5EF4-FFF2-40B4-BE49-F238E27FC236}">
                <a16:creationId xmlns:a16="http://schemas.microsoft.com/office/drawing/2014/main" id="{859E2DA2-B4E1-4AD8-A44B-EA435246C9C0}"/>
              </a:ext>
            </a:extLst>
          </xdr:cNvPr>
          <xdr:cNvSpPr txBox="1"/>
        </xdr:nvSpPr>
        <xdr:spPr>
          <a:xfrm>
            <a:off x="3009900" y="164592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99754-5F9D-4426-ADF3-588C511E8631}" type="TxLink">
              <a:rPr lang="en-US" sz="1600" b="1" i="0" u="none" strike="noStrike">
                <a:solidFill>
                  <a:srgbClr val="000000"/>
                </a:solidFill>
                <a:latin typeface="Aptos Narrow"/>
              </a:rPr>
              <a:pPr algn="ctr"/>
              <a:t>4200</a:t>
            </a:fld>
            <a:endParaRPr lang="en-US" sz="4000" b="1"/>
          </a:p>
        </xdr:txBody>
      </xdr:sp>
      <xdr:sp macro="" textlink="Sheet1!B1">
        <xdr:nvSpPr>
          <xdr:cNvPr id="26" name="TextBox 25">
            <a:extLst>
              <a:ext uri="{FF2B5EF4-FFF2-40B4-BE49-F238E27FC236}">
                <a16:creationId xmlns:a16="http://schemas.microsoft.com/office/drawing/2014/main" id="{E56F69EA-DCB1-4B0A-AF51-464DB809C7CA}"/>
              </a:ext>
            </a:extLst>
          </xdr:cNvPr>
          <xdr:cNvSpPr txBox="1"/>
        </xdr:nvSpPr>
        <xdr:spPr>
          <a:xfrm>
            <a:off x="3025140" y="18440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1544C3-5E51-460A-9B8C-C5217E5B7F5B}" type="TxLink">
              <a:rPr lang="en-US" sz="1200" b="1" i="0" u="none" strike="noStrike">
                <a:solidFill>
                  <a:srgbClr val="000000"/>
                </a:solidFill>
                <a:latin typeface="Aptos Narrow"/>
              </a:rPr>
              <a:pPr algn="ctr"/>
              <a:t>Total Orders</a:t>
            </a:fld>
            <a:endParaRPr lang="en-US" sz="3200" b="1"/>
          </a:p>
        </xdr:txBody>
      </xdr:sp>
      <xdr:sp macro="" textlink="Sheet1!C1">
        <xdr:nvSpPr>
          <xdr:cNvPr id="27" name="TextBox 26">
            <a:extLst>
              <a:ext uri="{FF2B5EF4-FFF2-40B4-BE49-F238E27FC236}">
                <a16:creationId xmlns:a16="http://schemas.microsoft.com/office/drawing/2014/main" id="{C7C84F62-5A03-4C61-A935-2812F2E2EE14}"/>
              </a:ext>
            </a:extLst>
          </xdr:cNvPr>
          <xdr:cNvSpPr txBox="1"/>
        </xdr:nvSpPr>
        <xdr:spPr>
          <a:xfrm>
            <a:off x="6271260" y="1828800"/>
            <a:ext cx="149352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99FA51-9130-4D42-AD32-6B9DA33BC822}" type="TxLink">
              <a:rPr lang="en-US" sz="1200" b="1" i="0" u="none" strike="noStrike">
                <a:solidFill>
                  <a:srgbClr val="000000"/>
                </a:solidFill>
                <a:latin typeface="Aptos Narrow"/>
              </a:rPr>
              <a:pPr algn="ctr"/>
              <a:t>Average Order Value</a:t>
            </a:fld>
            <a:endParaRPr lang="en-US" sz="3200" b="1"/>
          </a:p>
        </xdr:txBody>
      </xdr:sp>
      <xdr:sp macro="" textlink="Sheet1!H1">
        <xdr:nvSpPr>
          <xdr:cNvPr id="28" name="TextBox 27">
            <a:extLst>
              <a:ext uri="{FF2B5EF4-FFF2-40B4-BE49-F238E27FC236}">
                <a16:creationId xmlns:a16="http://schemas.microsoft.com/office/drawing/2014/main" id="{0083757D-9CE9-4184-8F4F-2177E7E331B2}"/>
              </a:ext>
            </a:extLst>
          </xdr:cNvPr>
          <xdr:cNvSpPr txBox="1"/>
        </xdr:nvSpPr>
        <xdr:spPr>
          <a:xfrm>
            <a:off x="4663440" y="18440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FB4AEB-689C-4D64-B258-D11B68D75017}" type="TxLink">
              <a:rPr lang="en-US" sz="1200" b="1" i="0" u="none" strike="noStrike">
                <a:solidFill>
                  <a:srgbClr val="000000"/>
                </a:solidFill>
                <a:latin typeface="Aptos Narrow"/>
              </a:rPr>
              <a:pPr algn="ctr"/>
              <a:t>Total Quantity</a:t>
            </a:fld>
            <a:endParaRPr lang="en-US" sz="1200" b="1"/>
          </a:p>
        </xdr:txBody>
      </xdr:sp>
      <xdr:sp macro="" textlink="Sheet1!D1">
        <xdr:nvSpPr>
          <xdr:cNvPr id="29" name="TextBox 28">
            <a:extLst>
              <a:ext uri="{FF2B5EF4-FFF2-40B4-BE49-F238E27FC236}">
                <a16:creationId xmlns:a16="http://schemas.microsoft.com/office/drawing/2014/main" id="{DDB0DE20-FE1F-4760-8808-155017BEF125}"/>
              </a:ext>
            </a:extLst>
          </xdr:cNvPr>
          <xdr:cNvSpPr txBox="1"/>
        </xdr:nvSpPr>
        <xdr:spPr>
          <a:xfrm>
            <a:off x="9669780" y="18440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C3DA9-6952-466D-9412-C28267762C27}" type="TxLink">
              <a:rPr lang="en-US" sz="1200" b="1" i="0" u="none" strike="noStrike">
                <a:solidFill>
                  <a:srgbClr val="000000"/>
                </a:solidFill>
                <a:latin typeface="Aptos Narrow"/>
              </a:rPr>
              <a:pPr algn="ctr"/>
              <a:t>Return Rate %</a:t>
            </a:fld>
            <a:endParaRPr lang="en-US" sz="3200" b="1"/>
          </a:p>
        </xdr:txBody>
      </xdr:sp>
      <xdr:sp macro="" textlink="Sheet1!I1">
        <xdr:nvSpPr>
          <xdr:cNvPr id="30" name="TextBox 29">
            <a:extLst>
              <a:ext uri="{FF2B5EF4-FFF2-40B4-BE49-F238E27FC236}">
                <a16:creationId xmlns:a16="http://schemas.microsoft.com/office/drawing/2014/main" id="{E1EE22A2-F9C9-41F8-BEE7-D43625F58CF2}"/>
              </a:ext>
            </a:extLst>
          </xdr:cNvPr>
          <xdr:cNvSpPr txBox="1"/>
        </xdr:nvSpPr>
        <xdr:spPr>
          <a:xfrm>
            <a:off x="7985760" y="18440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0D08C4-C85F-4E58-A965-AC894F3D6284}" type="TxLink">
              <a:rPr lang="en-US" sz="1200" b="1" i="0" u="none" strike="noStrike">
                <a:solidFill>
                  <a:srgbClr val="000000"/>
                </a:solidFill>
                <a:latin typeface="Aptos Narrow"/>
              </a:rPr>
              <a:pPr algn="ctr"/>
              <a:t>Total Customers</a:t>
            </a:fld>
            <a:endParaRPr lang="en-US" sz="3200" b="1"/>
          </a:p>
        </xdr:txBody>
      </xdr:sp>
      <xdr:sp macro="" textlink="Sheet1!H2">
        <xdr:nvSpPr>
          <xdr:cNvPr id="31" name="TextBox 30">
            <a:extLst>
              <a:ext uri="{FF2B5EF4-FFF2-40B4-BE49-F238E27FC236}">
                <a16:creationId xmlns:a16="http://schemas.microsoft.com/office/drawing/2014/main" id="{18494F30-D204-4E2B-B4E4-890A62E3541A}"/>
              </a:ext>
            </a:extLst>
          </xdr:cNvPr>
          <xdr:cNvSpPr txBox="1"/>
        </xdr:nvSpPr>
        <xdr:spPr>
          <a:xfrm>
            <a:off x="4610100" y="16535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A9F883-F39A-489A-A88F-F47B111D8E36}" type="TxLink">
              <a:rPr lang="en-US" sz="1600" b="1" i="0" u="none" strike="noStrike">
                <a:solidFill>
                  <a:srgbClr val="000000"/>
                </a:solidFill>
                <a:latin typeface="Aptos Narrow"/>
              </a:rPr>
              <a:pPr algn="ctr"/>
              <a:t>30935</a:t>
            </a:fld>
            <a:endParaRPr lang="en-US" sz="4000" b="1"/>
          </a:p>
        </xdr:txBody>
      </xdr:sp>
      <xdr:sp macro="" textlink="Sheet1!C2">
        <xdr:nvSpPr>
          <xdr:cNvPr id="32" name="TextBox 31">
            <a:extLst>
              <a:ext uri="{FF2B5EF4-FFF2-40B4-BE49-F238E27FC236}">
                <a16:creationId xmlns:a16="http://schemas.microsoft.com/office/drawing/2014/main" id="{11228894-F003-46B3-83F0-E9C1A55F79C2}"/>
              </a:ext>
            </a:extLst>
          </xdr:cNvPr>
          <xdr:cNvSpPr txBox="1"/>
        </xdr:nvSpPr>
        <xdr:spPr>
          <a:xfrm>
            <a:off x="6225540" y="164592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D5537-BAD5-42AE-9FDB-5BEA0B1A1642}" type="TxLink">
              <a:rPr lang="en-US" sz="1600" b="1" i="0" u="none" strike="noStrike">
                <a:solidFill>
                  <a:srgbClr val="000000"/>
                </a:solidFill>
                <a:latin typeface="Aptos Narrow"/>
              </a:rPr>
              <a:pPr algn="ctr"/>
              <a:t>63K</a:t>
            </a:fld>
            <a:endParaRPr lang="en-US" sz="4000" b="1"/>
          </a:p>
        </xdr:txBody>
      </xdr:sp>
      <xdr:sp macro="" textlink="Sheet1!I2">
        <xdr:nvSpPr>
          <xdr:cNvPr id="33" name="TextBox 32">
            <a:extLst>
              <a:ext uri="{FF2B5EF4-FFF2-40B4-BE49-F238E27FC236}">
                <a16:creationId xmlns:a16="http://schemas.microsoft.com/office/drawing/2014/main" id="{340FE0D0-E1D0-48F4-8390-061417EB5A11}"/>
              </a:ext>
            </a:extLst>
          </xdr:cNvPr>
          <xdr:cNvSpPr txBox="1"/>
        </xdr:nvSpPr>
        <xdr:spPr>
          <a:xfrm>
            <a:off x="7970520" y="166116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63684F-6062-4765-A577-327C35F97168}" type="TxLink">
              <a:rPr lang="en-US" sz="1600" b="1" i="0" u="none" strike="noStrike">
                <a:solidFill>
                  <a:srgbClr val="000000"/>
                </a:solidFill>
                <a:latin typeface="Aptos Narrow"/>
              </a:rPr>
              <a:pPr algn="ctr"/>
              <a:t>4112</a:t>
            </a:fld>
            <a:endParaRPr lang="en-US" sz="4000" b="1"/>
          </a:p>
        </xdr:txBody>
      </xdr:sp>
      <xdr:sp macro="" textlink="Sheet1!D2">
        <xdr:nvSpPr>
          <xdr:cNvPr id="34" name="TextBox 33">
            <a:extLst>
              <a:ext uri="{FF2B5EF4-FFF2-40B4-BE49-F238E27FC236}">
                <a16:creationId xmlns:a16="http://schemas.microsoft.com/office/drawing/2014/main" id="{C1419ABE-39C9-4D40-AD1D-617ADE042556}"/>
              </a:ext>
            </a:extLst>
          </xdr:cNvPr>
          <xdr:cNvSpPr txBox="1"/>
        </xdr:nvSpPr>
        <xdr:spPr>
          <a:xfrm>
            <a:off x="9639300" y="1653540"/>
            <a:ext cx="1325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01C45D-79E3-46CC-82FA-A3E7F4798447}" type="TxLink">
              <a:rPr lang="en-US" sz="1600" b="1" i="0" u="none" strike="noStrike">
                <a:solidFill>
                  <a:srgbClr val="000000"/>
                </a:solidFill>
                <a:latin typeface="Aptos Narrow"/>
              </a:rPr>
              <a:pPr algn="ctr"/>
              <a:t>14.57%</a:t>
            </a:fld>
            <a:endParaRPr lang="en-US" sz="4000" b="1"/>
          </a:p>
        </xdr:txBody>
      </xdr:sp>
      <xdr:sp macro="" textlink="">
        <xdr:nvSpPr>
          <xdr:cNvPr id="37" name="Rectangle 36">
            <a:extLst>
              <a:ext uri="{FF2B5EF4-FFF2-40B4-BE49-F238E27FC236}">
                <a16:creationId xmlns:a16="http://schemas.microsoft.com/office/drawing/2014/main" id="{F6C06B0E-6095-290E-76AE-325EEDBDAE9D}"/>
              </a:ext>
            </a:extLst>
          </xdr:cNvPr>
          <xdr:cNvSpPr/>
        </xdr:nvSpPr>
        <xdr:spPr>
          <a:xfrm>
            <a:off x="22860" y="1653540"/>
            <a:ext cx="10835640" cy="701040"/>
          </a:xfrm>
          <a:prstGeom prst="rect">
            <a:avLst/>
          </a:prstGeom>
          <a:noFill/>
          <a:ln>
            <a:noFill/>
          </a:ln>
          <a:effectLst>
            <a:glow rad="63500">
              <a:schemeClr val="accent1">
                <a:satMod val="175000"/>
                <a:alpha val="40000"/>
              </a:schemeClr>
            </a:glow>
            <a:outerShdw blurRad="44450" dist="27940" dir="5400000" algn="ctr">
              <a:srgbClr val="000000">
                <a:alpha val="32000"/>
              </a:srgbClr>
            </a:outerShdw>
          </a:effectLst>
          <a:scene3d>
            <a:camera prst="isometricOffAxis1Right"/>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9C8906A6-3697-4051-AE7E-5E1FD21B0F30}"/>
              </a:ext>
            </a:extLst>
          </xdr:cNvPr>
          <xdr:cNvGraphicFramePr>
            <a:graphicFrameLocks/>
          </xdr:cNvGraphicFramePr>
        </xdr:nvGraphicFramePr>
        <xdr:xfrm>
          <a:off x="7757160" y="2377440"/>
          <a:ext cx="3131820" cy="198882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B8401910-491F-4B86-A26F-FEDDB96C9920}"/>
              </a:ext>
            </a:extLst>
          </xdr:cNvPr>
          <xdr:cNvGraphicFramePr>
            <a:graphicFrameLocks/>
          </xdr:cNvGraphicFramePr>
        </xdr:nvGraphicFramePr>
        <xdr:xfrm>
          <a:off x="3794760" y="2377440"/>
          <a:ext cx="3954780" cy="19964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Rectangle: Rounded Corners 14">
            <a:extLst>
              <a:ext uri="{FF2B5EF4-FFF2-40B4-BE49-F238E27FC236}">
                <a16:creationId xmlns:a16="http://schemas.microsoft.com/office/drawing/2014/main" id="{180573D4-8806-AEEE-B8B1-47D30E6ACA07}"/>
              </a:ext>
            </a:extLst>
          </xdr:cNvPr>
          <xdr:cNvSpPr/>
        </xdr:nvSpPr>
        <xdr:spPr>
          <a:xfrm>
            <a:off x="7620" y="4396740"/>
            <a:ext cx="10934700" cy="1021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28B31D97-4735-8CC1-3C77-EB72F6955657}"/>
              </a:ext>
            </a:extLst>
          </xdr:cNvPr>
          <xdr:cNvSpPr/>
        </xdr:nvSpPr>
        <xdr:spPr>
          <a:xfrm>
            <a:off x="106680" y="4564380"/>
            <a:ext cx="2148840" cy="67818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18" name="Rectangle 17">
            <a:extLst>
              <a:ext uri="{FF2B5EF4-FFF2-40B4-BE49-F238E27FC236}">
                <a16:creationId xmlns:a16="http://schemas.microsoft.com/office/drawing/2014/main" id="{81A4B3EE-F450-42FB-9AE9-6510B5134ED8}"/>
              </a:ext>
            </a:extLst>
          </xdr:cNvPr>
          <xdr:cNvSpPr/>
        </xdr:nvSpPr>
        <xdr:spPr>
          <a:xfrm>
            <a:off x="2887980" y="4572000"/>
            <a:ext cx="2148840" cy="67818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F873B75C-1DD0-4C83-B6F7-289D408C5FDB}"/>
              </a:ext>
            </a:extLst>
          </xdr:cNvPr>
          <xdr:cNvSpPr/>
        </xdr:nvSpPr>
        <xdr:spPr>
          <a:xfrm>
            <a:off x="5676900" y="4564380"/>
            <a:ext cx="2148840" cy="67818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04E3F0D8-06D7-4946-9F1E-264F321FF029}"/>
              </a:ext>
            </a:extLst>
          </xdr:cNvPr>
          <xdr:cNvSpPr/>
        </xdr:nvSpPr>
        <xdr:spPr>
          <a:xfrm>
            <a:off x="8511540" y="4556760"/>
            <a:ext cx="2148840" cy="67818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25">
        <xdr:nvSpPr>
          <xdr:cNvPr id="35" name="Rectangle 34">
            <a:extLst>
              <a:ext uri="{FF2B5EF4-FFF2-40B4-BE49-F238E27FC236}">
                <a16:creationId xmlns:a16="http://schemas.microsoft.com/office/drawing/2014/main" id="{8BDC4578-9A18-7EA3-19AF-24926E188D29}"/>
              </a:ext>
            </a:extLst>
          </xdr:cNvPr>
          <xdr:cNvSpPr/>
        </xdr:nvSpPr>
        <xdr:spPr>
          <a:xfrm>
            <a:off x="556260" y="4975860"/>
            <a:ext cx="12496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41B7DB-12D7-4947-9974-61B2CE12AD97}" type="TxLink">
              <a:rPr lang="en-US" sz="1100" b="1" i="0" u="none" strike="noStrike">
                <a:solidFill>
                  <a:schemeClr val="bg1"/>
                </a:solidFill>
                <a:latin typeface="Aptos Narrow"/>
              </a:rPr>
              <a:pPr algn="ctr"/>
              <a:t>Cash On Delivery</a:t>
            </a:fld>
            <a:endParaRPr lang="en-US" sz="1100" b="1">
              <a:solidFill>
                <a:schemeClr val="bg1"/>
              </a:solidFill>
            </a:endParaRPr>
          </a:p>
        </xdr:txBody>
      </xdr:sp>
      <xdr:sp macro="" textlink="Sheet1!A26">
        <xdr:nvSpPr>
          <xdr:cNvPr id="36" name="Rectangle 35">
            <a:extLst>
              <a:ext uri="{FF2B5EF4-FFF2-40B4-BE49-F238E27FC236}">
                <a16:creationId xmlns:a16="http://schemas.microsoft.com/office/drawing/2014/main" id="{6706AD0C-A4B9-4F66-8EE3-956F61010E60}"/>
              </a:ext>
            </a:extLst>
          </xdr:cNvPr>
          <xdr:cNvSpPr/>
        </xdr:nvSpPr>
        <xdr:spPr>
          <a:xfrm>
            <a:off x="3284220" y="4953000"/>
            <a:ext cx="1249680" cy="2057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A3EB07-18CB-42CD-914D-14E3724F0B3D}" type="TxLink">
              <a:rPr lang="en-US" sz="1100" b="1" i="0" u="none" strike="noStrike">
                <a:solidFill>
                  <a:schemeClr val="bg1"/>
                </a:solidFill>
                <a:latin typeface="Aptos Narrow"/>
              </a:rPr>
              <a:pPr algn="ctr"/>
              <a:t>Credit Card</a:t>
            </a:fld>
            <a:endParaRPr lang="en-US" sz="1100" b="1">
              <a:solidFill>
                <a:schemeClr val="bg1"/>
              </a:solidFill>
            </a:endParaRPr>
          </a:p>
        </xdr:txBody>
      </xdr:sp>
      <xdr:sp macro="" textlink="Sheet1!A28">
        <xdr:nvSpPr>
          <xdr:cNvPr id="39" name="Rectangle 38">
            <a:extLst>
              <a:ext uri="{FF2B5EF4-FFF2-40B4-BE49-F238E27FC236}">
                <a16:creationId xmlns:a16="http://schemas.microsoft.com/office/drawing/2014/main" id="{F84D4F3D-CC80-4C71-B05E-4DA34ED060E3}"/>
              </a:ext>
            </a:extLst>
          </xdr:cNvPr>
          <xdr:cNvSpPr/>
        </xdr:nvSpPr>
        <xdr:spPr>
          <a:xfrm>
            <a:off x="6126480" y="4983480"/>
            <a:ext cx="12496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0231F3-B6D3-479C-AA32-D0A3F3E522DB}" type="TxLink">
              <a:rPr lang="en-US" sz="1200" b="1" i="0" u="none" strike="noStrike">
                <a:solidFill>
                  <a:schemeClr val="bg1"/>
                </a:solidFill>
                <a:latin typeface="Aptos Narrow"/>
              </a:rPr>
              <a:pPr algn="ctr"/>
              <a:t>Emi</a:t>
            </a:fld>
            <a:endParaRPr lang="en-US" sz="1200" b="1">
              <a:solidFill>
                <a:schemeClr val="bg1"/>
              </a:solidFill>
            </a:endParaRPr>
          </a:p>
        </xdr:txBody>
      </xdr:sp>
      <xdr:sp macro="" textlink="Sheet1!A30">
        <xdr:nvSpPr>
          <xdr:cNvPr id="40" name="Rectangle 39">
            <a:extLst>
              <a:ext uri="{FF2B5EF4-FFF2-40B4-BE49-F238E27FC236}">
                <a16:creationId xmlns:a16="http://schemas.microsoft.com/office/drawing/2014/main" id="{40AD086C-CDB2-4A45-AA4A-470997EC0C9A}"/>
              </a:ext>
            </a:extLst>
          </xdr:cNvPr>
          <xdr:cNvSpPr/>
        </xdr:nvSpPr>
        <xdr:spPr>
          <a:xfrm>
            <a:off x="9052560" y="4960620"/>
            <a:ext cx="12496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A5189F-FDE5-4ACD-81F0-BAD5C511023E}" type="TxLink">
              <a:rPr lang="en-US" sz="1200" b="1" i="0" u="none" strike="noStrike">
                <a:solidFill>
                  <a:schemeClr val="bg1"/>
                </a:solidFill>
                <a:latin typeface="Aptos Narrow"/>
              </a:rPr>
              <a:pPr algn="ctr"/>
              <a:t>Upi</a:t>
            </a:fld>
            <a:endParaRPr lang="en-US" sz="1200" b="1">
              <a:solidFill>
                <a:schemeClr val="bg1"/>
              </a:solidFill>
            </a:endParaRPr>
          </a:p>
        </xdr:txBody>
      </xdr:sp>
      <xdr:sp macro="" textlink="Sheet1!B25">
        <xdr:nvSpPr>
          <xdr:cNvPr id="46" name="Rectangle 45">
            <a:extLst>
              <a:ext uri="{FF2B5EF4-FFF2-40B4-BE49-F238E27FC236}">
                <a16:creationId xmlns:a16="http://schemas.microsoft.com/office/drawing/2014/main" id="{33BAE82F-D53F-2087-C577-18EC73A0AFA8}"/>
              </a:ext>
            </a:extLst>
          </xdr:cNvPr>
          <xdr:cNvSpPr/>
        </xdr:nvSpPr>
        <xdr:spPr>
          <a:xfrm>
            <a:off x="800100" y="4663440"/>
            <a:ext cx="9372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D1D7902-ADF2-4B8E-A067-076FB37AE641}" type="TxLink">
              <a:rPr lang="en-US" sz="1400" b="1" i="0" u="none" strike="noStrike">
                <a:solidFill>
                  <a:schemeClr val="bg1"/>
                </a:solidFill>
                <a:latin typeface="Aptos Narrow"/>
              </a:rPr>
              <a:pPr algn="l"/>
              <a:t>42.0M</a:t>
            </a:fld>
            <a:endParaRPr lang="en-US" sz="1400" b="1">
              <a:solidFill>
                <a:schemeClr val="bg1"/>
              </a:solidFill>
            </a:endParaRPr>
          </a:p>
        </xdr:txBody>
      </xdr:sp>
      <xdr:sp macro="" textlink="Sheet1!B26">
        <xdr:nvSpPr>
          <xdr:cNvPr id="47" name="Rectangle 46">
            <a:extLst>
              <a:ext uri="{FF2B5EF4-FFF2-40B4-BE49-F238E27FC236}">
                <a16:creationId xmlns:a16="http://schemas.microsoft.com/office/drawing/2014/main" id="{1FE0664E-0760-4E44-964E-449AF326BE11}"/>
              </a:ext>
            </a:extLst>
          </xdr:cNvPr>
          <xdr:cNvSpPr/>
        </xdr:nvSpPr>
        <xdr:spPr>
          <a:xfrm>
            <a:off x="3604260" y="4671060"/>
            <a:ext cx="9372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4B497A-A9C7-4DB4-A500-61DC3080B160}" type="TxLink">
              <a:rPr lang="en-US" sz="1400" b="1" i="0" u="none" strike="noStrike">
                <a:solidFill>
                  <a:schemeClr val="bg1"/>
                </a:solidFill>
                <a:latin typeface="Aptos Narrow"/>
              </a:rPr>
              <a:pPr algn="l"/>
              <a:t>38.5M</a:t>
            </a:fld>
            <a:endParaRPr lang="en-US" sz="1800" b="1">
              <a:solidFill>
                <a:schemeClr val="bg1"/>
              </a:solidFill>
            </a:endParaRPr>
          </a:p>
        </xdr:txBody>
      </xdr:sp>
      <xdr:sp macro="" textlink="Sheet1!B28">
        <xdr:nvSpPr>
          <xdr:cNvPr id="48" name="Rectangle 47">
            <a:extLst>
              <a:ext uri="{FF2B5EF4-FFF2-40B4-BE49-F238E27FC236}">
                <a16:creationId xmlns:a16="http://schemas.microsoft.com/office/drawing/2014/main" id="{B038D45C-1B3F-4473-813C-2C1BB2C41B63}"/>
              </a:ext>
            </a:extLst>
          </xdr:cNvPr>
          <xdr:cNvSpPr/>
        </xdr:nvSpPr>
        <xdr:spPr>
          <a:xfrm>
            <a:off x="6385560" y="4671060"/>
            <a:ext cx="9372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F70EDC-C199-4432-8652-95A1A2377D77}" type="TxLink">
              <a:rPr lang="en-US" sz="1400" b="1" i="0" u="none" strike="noStrike">
                <a:solidFill>
                  <a:schemeClr val="bg1"/>
                </a:solidFill>
                <a:latin typeface="Aptos Narrow"/>
              </a:rPr>
              <a:pPr algn="l"/>
              <a:t>63.2M</a:t>
            </a:fld>
            <a:endParaRPr lang="en-US" sz="1800" b="1">
              <a:solidFill>
                <a:schemeClr val="bg1"/>
              </a:solidFill>
            </a:endParaRPr>
          </a:p>
        </xdr:txBody>
      </xdr:sp>
      <xdr:sp macro="" textlink="Sheet1!B30">
        <xdr:nvSpPr>
          <xdr:cNvPr id="49" name="Rectangle 48">
            <a:extLst>
              <a:ext uri="{FF2B5EF4-FFF2-40B4-BE49-F238E27FC236}">
                <a16:creationId xmlns:a16="http://schemas.microsoft.com/office/drawing/2014/main" id="{3B074651-D973-4D93-9ED2-AA7C2BE93125}"/>
              </a:ext>
            </a:extLst>
          </xdr:cNvPr>
          <xdr:cNvSpPr/>
        </xdr:nvSpPr>
        <xdr:spPr>
          <a:xfrm>
            <a:off x="9281160" y="4671060"/>
            <a:ext cx="9372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9D7B68-1B3D-4755-83FB-149886DA9FE2}" type="TxLink">
              <a:rPr lang="en-US" sz="1400" b="1" i="0" u="none" strike="noStrike">
                <a:solidFill>
                  <a:schemeClr val="bg1"/>
                </a:solidFill>
                <a:latin typeface="Aptos Narrow"/>
              </a:rPr>
              <a:pPr algn="l"/>
              <a:t>39.2M</a:t>
            </a:fld>
            <a:endParaRPr lang="en-US" sz="1800" b="1">
              <a:solidFill>
                <a:schemeClr val="bg1"/>
              </a:solidFill>
            </a:endParaRPr>
          </a:p>
        </xdr:txBody>
      </xdr:sp>
      <xdr:graphicFrame macro="">
        <xdr:nvGraphicFramePr>
          <xdr:cNvPr id="50" name="Chart 49">
            <a:extLst>
              <a:ext uri="{FF2B5EF4-FFF2-40B4-BE49-F238E27FC236}">
                <a16:creationId xmlns:a16="http://schemas.microsoft.com/office/drawing/2014/main" id="{07D9D1E0-46AC-4432-AC3F-DE92584D9776}"/>
              </a:ext>
            </a:extLst>
          </xdr:cNvPr>
          <xdr:cNvGraphicFramePr>
            <a:graphicFrameLocks/>
          </xdr:cNvGraphicFramePr>
        </xdr:nvGraphicFramePr>
        <xdr:xfrm>
          <a:off x="15240" y="2369820"/>
          <a:ext cx="3764280" cy="20040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7.730728240742" createdVersion="8" refreshedVersion="8" minRefreshableVersion="3" recordCount="0" supportSubquery="1" supportAdvancedDrill="1" xr:uid="{AD178D5B-049E-44D4-A5D0-5EE175362BEF}">
  <cacheSource type="external" connectionId="2"/>
  <cacheFields count="11">
    <cacheField name="[Measures].[Profit Margin%]" caption="Profit Margin%" numFmtId="0" hierarchy="30" level="32767"/>
    <cacheField name="[Measures].[Total Orders]" caption="Total Orders" numFmtId="0" hierarchy="31" level="32767"/>
    <cacheField name="[Measures].[Average Order Value]" caption="Average Order Value" numFmtId="0" hierarchy="32" level="32767"/>
    <cacheField name="[Measures].[Return Rate %]" caption="Return Rate %" numFmtId="0" hierarchy="33" level="32767"/>
    <cacheField name="[Measures].[Average Discount %]" caption="Average Discount %" numFmtId="0" hierarchy="34" level="32767"/>
    <cacheField name="[Measures].[Average Shipping Days]" caption="Average Shipping Days" numFmtId="0" hierarchy="35" level="32767"/>
    <cacheField name="[Measures].[Average Customer Satisfaction]" caption="Average Customer Satisfaction" numFmtId="0" hierarchy="36" level="32767"/>
    <cacheField name="[Measures].[Total Quantity]" caption="Total Quantity" numFmtId="0" hierarchy="37" level="32767"/>
    <cacheField name="[Measures].[Total Customers]" caption="Total Customers" numFmtId="0" hierarchy="38" level="32767"/>
    <cacheField name="[Measures].[Total Sales]" caption="Total Sales" numFmtId="0" hierarchy="28" level="32767"/>
    <cacheField name="[Measures].[Total Profit]" caption="Total Profit" numFmtId="0" hierarchy="29" level="32767"/>
  </cacheFields>
  <cacheHierarchies count="42">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0"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oneField="1">
      <fieldsUsage count="1">
        <fieldUsage x="9"/>
      </fieldsUsage>
    </cacheHierarchy>
    <cacheHierarchy uniqueName="[Measures].[Total Profit]" caption="Total Profit" measure="1" displayFolder="" measureGroup="Sheet1" count="0" oneField="1">
      <fieldsUsage count="1">
        <fieldUsage x="10"/>
      </fieldsUsage>
    </cacheHierarchy>
    <cacheHierarchy uniqueName="[Measures].[Profit Margin%]" caption="Profit Margin%" measure="1" displayFolder="" measureGroup="Sheet1" count="0" oneField="1">
      <fieldsUsage count="1">
        <fieldUsage x="0"/>
      </fieldsUsage>
    </cacheHierarchy>
    <cacheHierarchy uniqueName="[Measures].[Total Orders]" caption="Total Orders" measure="1" displayFolder="" measureGroup="Sheet1" count="0" oneField="1">
      <fieldsUsage count="1">
        <fieldUsage x="1"/>
      </fieldsUsage>
    </cacheHierarchy>
    <cacheHierarchy uniqueName="[Measures].[Average Order Value]" caption="Average Order Value" measure="1" displayFolder="" measureGroup="Sheet1" count="0" oneField="1">
      <fieldsUsage count="1">
        <fieldUsage x="2"/>
      </fieldsUsage>
    </cacheHierarchy>
    <cacheHierarchy uniqueName="[Measures].[Return Rate %]" caption="Return Rate %" measure="1" displayFolder="" measureGroup="Sheet1" count="0" oneField="1">
      <fieldsUsage count="1">
        <fieldUsage x="3"/>
      </fieldsUsage>
    </cacheHierarchy>
    <cacheHierarchy uniqueName="[Measures].[Average Discount %]" caption="Average Discount %" measure="1" displayFolder="" measureGroup="Sheet1" count="0" oneField="1">
      <fieldsUsage count="1">
        <fieldUsage x="4"/>
      </fieldsUsage>
    </cacheHierarchy>
    <cacheHierarchy uniqueName="[Measures].[Average Shipping Days]" caption="Average Shipping Days" measure="1" displayFolder="" measureGroup="Sheet1" count="0" oneField="1">
      <fieldsUsage count="1">
        <fieldUsage x="5"/>
      </fieldsUsage>
    </cacheHierarchy>
    <cacheHierarchy uniqueName="[Measures].[Average Customer Satisfaction]" caption="Average Customer Satisfaction" measure="1" displayFolder="" measureGroup="Sheet1" count="0" oneField="1">
      <fieldsUsage count="1">
        <fieldUsage x="6"/>
      </fieldsUsage>
    </cacheHierarchy>
    <cacheHierarchy uniqueName="[Measures].[Total Quantity]" caption="Total Quantity" measure="1" displayFolder="" measureGroup="Sheet1" count="0" oneField="1">
      <fieldsUsage count="1">
        <fieldUsage x="7"/>
      </fieldsUsage>
    </cacheHierarchy>
    <cacheHierarchy uniqueName="[Measures].[Total Customers]" caption="Total Customers" measure="1" displayFolder="" measureGroup="Sheet1" count="0" oneField="1">
      <fieldsUsage count="1">
        <fieldUsage x="8"/>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7.730795370371" createdVersion="8" refreshedVersion="8" minRefreshableVersion="3" recordCount="0" supportSubquery="1" supportAdvancedDrill="1" xr:uid="{CDA55FEE-8881-4403-B486-7389DD39107B}">
  <cacheSource type="external" connectionId="2"/>
  <cacheFields count="2">
    <cacheField name="[Measures].[Total Sales]" caption="Total Sales" numFmtId="0" hierarchy="28" level="32767"/>
    <cacheField name="[Sheet1].[region].[region]" caption="region" numFmtId="0" hierarchy="6" level="1">
      <sharedItems count="5">
        <s v="Central"/>
        <s v="East"/>
        <s v="North"/>
        <s v="South"/>
        <s v="West"/>
      </sharedItems>
    </cacheField>
  </cacheFields>
  <cacheHierarchies count="42">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0"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oneField="1">
      <fieldsUsage count="1">
        <fieldUsage x="0"/>
      </fieldsUsage>
    </cacheHierarchy>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7.730858333336" createdVersion="8" refreshedVersion="8" minRefreshableVersion="3" recordCount="0" supportSubquery="1" supportAdvancedDrill="1" xr:uid="{79DDEA9F-44E2-4B58-9297-926B51F219C8}">
  <cacheSource type="external" connectionId="2"/>
  <cacheFields count="2">
    <cacheField name="[Measures].[Total Sales]" caption="Total Sales" numFmtId="0" hierarchy="28" level="32767"/>
    <cacheField name="[Sheet1].[Month Name].[Month Name]" caption="Month Name" numFmtId="0" hierarchy="26" level="1">
      <sharedItems count="12">
        <s v="Jan"/>
        <s v="Feb"/>
        <s v="Mar"/>
        <s v="Apr"/>
        <s v="May"/>
        <s v="Jun"/>
        <s v="Jul"/>
        <s v="Aug"/>
        <s v="Sep"/>
        <s v="Oct"/>
        <s v="Nov"/>
        <s v="Dec"/>
      </sharedItems>
    </cacheField>
  </cacheFields>
  <cacheHierarchies count="42">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oneField="1">
      <fieldsUsage count="1">
        <fieldUsage x="0"/>
      </fieldsUsage>
    </cacheHierarchy>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7.730933564817" createdVersion="8" refreshedVersion="8" minRefreshableVersion="3" recordCount="0" supportSubquery="1" supportAdvancedDrill="1" xr:uid="{F4A34DE4-8192-40BE-AD87-F360E12541FF}">
  <cacheSource type="external" connectionId="2"/>
  <cacheFields count="2">
    <cacheField name="[Measures].[Total Sales]" caption="Total Sales" numFmtId="0" hierarchy="28" level="32767"/>
    <cacheField name="[Sheet1].[city].[city]" caption="city" numFmtId="0" hierarchy="7" level="1">
      <sharedItems count="5">
        <s v="Amritsar"/>
        <s v="Chennai"/>
        <s v="Hyderabad"/>
        <s v="Kochi"/>
        <s v="Mumbai"/>
      </sharedItems>
    </cacheField>
  </cacheFields>
  <cacheHierarchies count="42">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0"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oneField="1">
      <fieldsUsage count="1">
        <fieldUsage x="0"/>
      </fieldsUsage>
    </cacheHierarchy>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7.731012731485" createdVersion="8" refreshedVersion="8" minRefreshableVersion="3" recordCount="0" supportSubquery="1" supportAdvancedDrill="1" xr:uid="{A3B2CF9B-F427-4F49-B116-0FC8F368D5A8}">
  <cacheSource type="external" connectionId="2"/>
  <cacheFields count="2">
    <cacheField name="[Measures].[Total Sales]" caption="Total Sales" numFmtId="0" hierarchy="28" level="32767"/>
    <cacheField name="[Sheet1].[payment_method].[payment_method]" caption="payment_method" numFmtId="0" hierarchy="16" level="1">
      <sharedItems count="6">
        <s v="Cash On Delivery"/>
        <s v="Credit Card"/>
        <s v="Debit Card"/>
        <s v="Emi"/>
        <s v="Net Banking"/>
        <s v="Upi"/>
      </sharedItems>
    </cacheField>
  </cacheFields>
  <cacheHierarchies count="42">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2" memberValueDatatype="130" unbalanced="0">
      <fieldsUsage count="2">
        <fieldUsage x="-1"/>
        <fieldUsage x="1"/>
      </fieldsUsage>
    </cacheHierarchy>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0"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oneField="1">
      <fieldsUsage count="1">
        <fieldUsage x="0"/>
      </fieldsUsage>
    </cacheHierarchy>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3.660949537036" createdVersion="3" refreshedVersion="8" minRefreshableVersion="3" recordCount="0" supportSubquery="1" supportAdvancedDrill="1" xr:uid="{ED791611-0A35-4EF8-A854-23A0A865F38E}">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4479202"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Shaikh" refreshedDate="46263.697356597222" createdVersion="3" refreshedVersion="8" minRefreshableVersion="3" recordCount="0" supportSubquery="1" supportAdvancedDrill="1" xr:uid="{84599215-EA19-4FB9-BF7E-E77B2909B00C}">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Sheet1].[order_id]" caption="order_id" attribute="1" defaultMemberUniqueName="[Sheet1].[order_id].[All]" allUniqueName="[Sheet1].[order_id].[All]" dimensionUniqueName="[Sheet1]" displayFolder="" count="0" memberValueDatatype="20" unbalanced="0"/>
    <cacheHierarchy uniqueName="[Sheet1].[order_date]" caption="order_date" attribute="1" time="1" defaultMemberUniqueName="[Sheet1].[order_date].[All]" allUniqueName="[Sheet1].[order_dat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2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_pct]" caption="discount_pct" attribute="1" defaultMemberUniqueName="[Sheet1].[discount_pct].[All]" allUniqueName="[Sheet1].[discount_pct].[All]" dimensionUniqueName="[Sheet1]" displayFolder="" count="0" memberValueDatatype="5" unbalanced="0"/>
    <cacheHierarchy uniqueName="[Sheet1].[sales_amount]" caption="sales_amount" attribute="1" defaultMemberUniqueName="[Sheet1].[sales_amount].[All]" allUniqueName="[Sheet1].[sales_am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_cost]" caption="shipping_cost" attribute="1" defaultMemberUniqueName="[Sheet1].[shipping_cost].[All]" allUniqueName="[Sheet1].[shipping_cost].[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customer_satisfaction]" caption="customer_satisfaction" attribute="1" defaultMemberUniqueName="[Sheet1].[customer_satisfaction].[All]" allUniqueName="[Sheet1].[customer_satisfaction].[All]" dimensionUniqueName="[Sheet1]" displayFolder="" count="0" memberValueDatatype="20" unbalanced="0"/>
    <cacheHierarchy uniqueName="[Sheet1].[return_flag]" caption="return_flag" attribute="1" defaultMemberUniqueName="[Sheet1].[return_flag].[All]" allUniqueName="[Sheet1].[return_flag].[All]" dimensionUniqueName="[Sheet1]" displayFolder="" count="0" memberValueDatatype="11"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days_to_ship]" caption="days_to_ship" attribute="1" defaultMemberUniqueName="[Sheet1].[days_to_ship].[All]" allUniqueName="[Sheet1].[days_to_ship].[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Year]" caption="Year" attribute="1" defaultMemberUniqueName="[Sheet1].[Year].[All]" allUniqueName="[Sheet1].[Year].[All]" dimensionUniqueName="[Sheet1]" displayFolder="" count="0" memberValueDatatype="130" unbalanced="0"/>
    <cacheHierarchy uniqueName="[Sheet1].[MonthNum]" caption="MonthNum" attribute="1" defaultMemberUniqueName="[Sheet1].[MonthNum].[All]" allUniqueName="[Sheet1].[MonthNum].[All]" dimensionUniqueName="[Sheet1]" displayFolder="" count="0" memberValueDatatype="130" unbalanced="0"/>
    <cacheHierarchy uniqueName="[Sheet1].[Years]" caption="Years" attribute="1" defaultMemberUniqueName="[Sheet1].[Years].[All]" allUniqueName="[Sheet1].[Years].[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Month Name]" caption="Month Name" attribute="1" defaultMemberUniqueName="[Sheet1].[Month Name].[All]" allUniqueName="[Sheet1].[Month Name].[All]" dimensionUniqueName="[Sheet1]" displayFolder="" count="0" memberValueDatatype="130" unbalanced="0"/>
    <cacheHierarchy uniqueName="[Sheet1].[Month Index]" caption="Month Index" attribute="1" defaultMemberUniqueName="[Sheet1].[Month Index].[All]" allUniqueName="[Sheet1].[Month Index].[All]" dimensionUniqueName="[Sheet1]" displayFolder="" count="0" memberValueDatatype="20" unbalanced="0" hidden="1"/>
    <cacheHierarchy uniqueName="[Measures].[Total Sales]" caption="Total Sales" measure="1" displayFolder="" measureGroup="Sheet1" count="0"/>
    <cacheHierarchy uniqueName="[Measures].[Total Profit]" caption="Total Profit" measure="1" displayFolder="" measureGroup="Sheet1" count="0"/>
    <cacheHierarchy uniqueName="[Measures].[Profit Margin%]" caption="Profit Margin%" measure="1" displayFolder="" measureGroup="Sheet1" count="0"/>
    <cacheHierarchy uniqueName="[Measures].[Total Orders]" caption="Total Orders" measure="1" displayFolder="" measureGroup="Sheet1" count="0"/>
    <cacheHierarchy uniqueName="[Measures].[Average Order Value]" caption="Average Order Value" measure="1" displayFolder="" measureGroup="Sheet1" count="0"/>
    <cacheHierarchy uniqueName="[Measures].[Return Rate %]" caption="Return Rate %" measure="1" displayFolder="" measureGroup="Sheet1" count="0"/>
    <cacheHierarchy uniqueName="[Measures].[Average Discount %]" caption="Average Discount %" measure="1" displayFolder="" measureGroup="Sheet1" count="0"/>
    <cacheHierarchy uniqueName="[Measures].[Average Shipping Days]" caption="Average Shipping Days" measure="1" displayFolder="" measureGroup="Sheet1" count="0"/>
    <cacheHierarchy uniqueName="[Measures].[Average Customer Satisfaction]" caption="Average Customer Satisfaction" measure="1" displayFolder="" measureGroup="Sheet1" count="0"/>
    <cacheHierarchy uniqueName="[Measures].[Total Quantity]" caption="Total Quantity" measure="1" displayFolder="" measureGroup="Sheet1" count="0"/>
    <cacheHierarchy uniqueName="[Measures].[Total Customers]" caption="Total Custom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89608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0CC24-3D51-4AEA-8B9B-CCABEE77D47A}" name="PivotTable6" cacheId="824" applyNumberFormats="0" applyBorderFormats="0" applyFontFormats="0" applyPatternFormats="0" applyAlignmentFormats="0" applyWidthHeightFormats="1" dataCaption="Values" tag="95c9f957-1c06-4ed9-91f9-a2e54aba5d68" updatedVersion="8" minRefreshableVersion="3" subtotalHiddenItems="1" itemPrintTitles="1" createdVersion="8" indent="0" outline="1" outlineData="1" multipleFieldFilters="0">
  <location ref="A24:B31"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numFmtId="166"/>
  </dataFields>
  <formats count="1">
    <format dxfId="8">
      <pivotArea outline="0" collapsedLevelsAreSubtotals="1" fieldPosition="0">
        <references count="1">
          <reference field="4294967294" count="1" selected="0">
            <x v="0"/>
          </reference>
        </references>
      </pivotArea>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C1C1F-D0C8-47C2-B7D6-8AFD3F8D2813}" name="PivotTable4" cacheId="818" applyNumberFormats="0" applyBorderFormats="0" applyFontFormats="0" applyPatternFormats="0" applyAlignmentFormats="0" applyWidthHeightFormats="1" dataCaption="Values" tag="69cd79da-da4d-4783-90e1-d7a76a12e97d" updatedVersion="8" minRefreshableVersion="3" subtotalHiddenItems="1" itemPrintTitles="1" createdVersion="8" indent="0" outline="1" outlineData="1" multipleFieldFilters="0" chartFormat="23" rowHeaderCaption="Zone">
  <location ref="D7:E20"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6"/>
  </dataFields>
  <formats count="1">
    <format dxfId="9">
      <pivotArea outline="0" collapsedLevelsAreSubtotals="1" fieldPosition="0">
        <references count="1">
          <reference field="4294967294" count="1" selected="0">
            <x v="0"/>
          </reference>
        </references>
      </pivotArea>
    </format>
  </formats>
  <chartFormats count="3">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AFB36-F930-4990-AFE3-CE94E051B3E3}" name="PivotTable3" cacheId="815" applyNumberFormats="0" applyBorderFormats="0" applyFontFormats="0" applyPatternFormats="0" applyAlignmentFormats="0" applyWidthHeightFormats="1" dataCaption="Values" tag="d748849a-19b5-4412-a8ff-e4927b7d5c1e" updatedVersion="8" minRefreshableVersion="3" subtotalHiddenItems="1" itemPrintTitles="1" createdVersion="8" indent="0" outline="1" outlineData="1" multipleFieldFilters="0" chartFormat="10" rowHeaderCaption="Zone">
  <location ref="A7:B1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6"/>
  </dataFields>
  <formats count="1">
    <format dxfId="10">
      <pivotArea outline="0" collapsedLevelsAreSubtotals="1" fieldPosition="0">
        <references count="1">
          <reference field="4294967294" count="1" selected="0">
            <x v="0"/>
          </reference>
        </references>
      </pivotArea>
    </format>
  </format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3C85AE-A3ED-45A1-B181-52594BEE1F0D}" name="PivotTable1" cacheId="812" applyNumberFormats="0" applyBorderFormats="0" applyFontFormats="0" applyPatternFormats="0" applyAlignmentFormats="0" applyWidthHeightFormats="1" dataCaption="Values" tag="95c9f957-1c06-4ed9-91f9-a2e54aba5d68" updatedVersion="8" minRefreshableVersion="3" subtotalHiddenItems="1" itemPrintTitles="1" createdVersion="8" indent="0" outline="1" outlineData="1" multipleFieldFilters="0">
  <location ref="A1:K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dataField fld="1" subtotal="count" baseField="0" baseItem="0"/>
    <dataField fld="2" subtotal="count" baseField="0" baseItem="0" numFmtId="167"/>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numFmtId="166"/>
    <dataField fld="10" subtotal="count" baseField="0" baseItem="0" numFmtId="166"/>
  </dataFields>
  <formats count="4">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9"/>
          </reference>
        </references>
      </pivotArea>
    </format>
    <format dxfId="11">
      <pivotArea outline="0" collapsedLevelsAreSubtotals="1" fieldPosition="0">
        <references count="1">
          <reference field="4294967294" count="1" selected="0">
            <x v="10"/>
          </reference>
        </references>
      </pivotArea>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1FE908-661F-4023-BCA4-AADA25527550}" name="PivotTable7" cacheId="821" applyNumberFormats="0" applyBorderFormats="0" applyFontFormats="0" applyPatternFormats="0" applyAlignmentFormats="0" applyWidthHeightFormats="1" dataCaption="Values" tag="69cd79da-da4d-4783-90e1-d7a76a12e97d" updatedVersion="8" minRefreshableVersion="3" subtotalHiddenItems="1" itemPrintTitles="1" createdVersion="8" indent="0" outline="1" outlineData="1" multipleFieldFilters="0" chartFormat="25" rowHeaderCaption="Zone">
  <location ref="G7:H13"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i>
    <i>
      <x v="1"/>
    </i>
    <i>
      <x v="2"/>
    </i>
    <i>
      <x v="4"/>
    </i>
    <i t="grand">
      <x/>
    </i>
  </rowItems>
  <colItems count="1">
    <i/>
  </colItems>
  <dataFields count="1">
    <dataField fld="0" subtotal="count" baseField="0" baseItem="0" numFmtId="166"/>
  </dataFields>
  <formats count="1">
    <format dxfId="15">
      <pivotArea outline="0" collapsedLevelsAreSubtotals="1" fieldPosition="0">
        <references count="1">
          <reference field="4294967294" count="1" selected="0">
            <x v="0"/>
          </reference>
        </references>
      </pivotArea>
    </format>
  </formats>
  <chartFormats count="4">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2" iMeasureHier="2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CF34CA5-ABE5-4552-B229-7B44DBD70F74}" sourceName="[Sheet1].[Years]">
  <pivotTables>
    <pivotTable tabId="1" name="PivotTable1"/>
    <pivotTable tabId="1" name="PivotTable3"/>
    <pivotTable tabId="1" name="PivotTable4"/>
    <pivotTable tabId="1" name="PivotTable6"/>
    <pivotTable tabId="1" name="PivotTable7"/>
  </pivotTables>
  <data>
    <olap pivotCacheId="1794479202">
      <levels count="2">
        <level uniqueName="[Sheet1].[Years].[(All)]" sourceCaption="(All)" count="0"/>
        <level uniqueName="[Sheet1].[Years].[Years]" sourceCaption="Years" count="5">
          <ranges>
            <range startItem="0">
              <i n="[Sheet1].[Years].&amp;[2020]" c="2020"/>
              <i n="[Sheet1].[Years].&amp;[2021]" c="2021"/>
              <i n="[Sheet1].[Years].&amp;[2022]" c="2022"/>
              <i n="[Sheet1].[Years].&amp;[2023]" c="2023"/>
              <i n="[Sheet1].[Years].&amp;[2024]" c="2024"/>
            </range>
          </ranges>
        </level>
      </levels>
      <selections count="1">
        <selection n="[Sheet1].[Yea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B71FFFC-F75F-43E0-B3B1-90B79A4308F8}" sourceName="[Sheet1].[Month Name]">
  <pivotTables>
    <pivotTable tabId="1" name="PivotTable1"/>
    <pivotTable tabId="1" name="PivotTable3"/>
    <pivotTable tabId="1" name="PivotTable4"/>
    <pivotTable tabId="1" name="PivotTable6"/>
    <pivotTable tabId="1" name="PivotTable7"/>
  </pivotTables>
  <data>
    <olap pivotCacheId="1794479202">
      <levels count="2">
        <level uniqueName="[Sheet1].[Month Name].[(All)]" sourceCaption="(All)" count="0"/>
        <level uniqueName="[Sheet1].[Month Name].[Month Name]" sourceCaption="Month Name" count="12">
          <ranges>
            <range startItem="0">
              <i n="[Sheet1].[Month Name].&amp;[Jan]" c="Jan"/>
              <i n="[Sheet1].[Month Name].&amp;[Feb]" c="Feb"/>
              <i n="[Sheet1].[Month Name].&amp;[Mar]" c="Mar"/>
              <i n="[Sheet1].[Month Name].&amp;[Apr]" c="Apr"/>
              <i n="[Sheet1].[Month Name].&amp;[May]" c="May"/>
              <i n="[Sheet1].[Month Name].&amp;[Jun]" c="Jun"/>
              <i n="[Sheet1].[Month Name].&amp;[Jul]" c="Jul"/>
              <i n="[Sheet1].[Month Name].&amp;[Aug]" c="Aug"/>
              <i n="[Sheet1].[Month Name].&amp;[Sep]" c="Sep"/>
              <i n="[Sheet1].[Month Name].&amp;[Oct]" c="Oct"/>
              <i n="[Sheet1].[Month Name].&amp;[Nov]" c="Nov"/>
              <i n="[Sheet1].[Month Name].&amp;[Dec]" c="Dec"/>
            </range>
          </ranges>
        </level>
      </levels>
      <selections count="1">
        <selection n="[Sheet1].[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E13803A-2E60-4A2D-96AC-4396CC12B34A}" sourceName="[Sheet1].[payment_method]">
  <pivotTables>
    <pivotTable tabId="1" name="PivotTable1"/>
    <pivotTable tabId="1" name="PivotTable3"/>
    <pivotTable tabId="1" name="PivotTable4"/>
    <pivotTable tabId="1" name="PivotTable6"/>
    <pivotTable tabId="1" name="PivotTable7"/>
  </pivotTables>
  <data>
    <olap pivotCacheId="1089608479">
      <levels count="2">
        <level uniqueName="[Sheet1].[payment_method].[(All)]" sourceCaption="(All)" count="0"/>
        <level uniqueName="[Sheet1].[payment_method].[payment_method]" sourceCaption="payment_method" count="6">
          <ranges>
            <range startItem="0">
              <i n="[Sheet1].[payment_method].&amp;[Cash On Delivery]" c="Cash On Delivery"/>
              <i n="[Sheet1].[payment_method].&amp;[Credit Card]" c="Credit Card"/>
              <i n="[Sheet1].[payment_method].&amp;[Debit Card]" c="Debit Card"/>
              <i n="[Sheet1].[payment_method].&amp;[Emi]" c="Emi"/>
              <i n="[Sheet1].[payment_method].&amp;[Net Banking]" c="Net Banking"/>
              <i n="[Sheet1].[payment_method].&amp;[Upi]" c="Upi"/>
            </range>
          </ranges>
        </level>
      </levels>
      <selections count="1">
        <selection n="[Sheet1].[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13B8A88-B800-4D22-AE43-6DD960839B74}" sourceName="[Sheet1].[product_category]">
  <pivotTables>
    <pivotTable tabId="1" name="PivotTable1"/>
    <pivotTable tabId="1" name="PivotTable3"/>
    <pivotTable tabId="1" name="PivotTable4"/>
    <pivotTable tabId="1" name="PivotTable6"/>
    <pivotTable tabId="1" name="PivotTable7"/>
  </pivotTables>
  <data>
    <olap pivotCacheId="1089608479">
      <levels count="2">
        <level uniqueName="[Sheet1].[product_category].[(All)]" sourceCaption="(All)" count="0"/>
        <level uniqueName="[Sheet1].[product_category].[product_category]" sourceCaption="product_category" count="7">
          <ranges>
            <range startItem="0">
              <i n="[Sheet1].[product_category].&amp;[Beauty]" c="Beauty"/>
              <i n="[Sheet1].[product_category].&amp;[Books]" c="Books"/>
              <i n="[Sheet1].[product_category].&amp;[Clothing]" c="Clothing"/>
              <i n="[Sheet1].[product_category].&amp;[Electronics]" c="Electronics"/>
              <i n="[Sheet1].[product_category].&amp;[Furniture]" c="Furniture"/>
              <i n="[Sheet1].[product_category].&amp;[Groceries]" c="Groceries"/>
              <i n="[Sheet1].[product_category].&amp;[Sports]" c="Sports"/>
            </range>
          </ranges>
        </level>
      </levels>
      <selections count="1">
        <selection n="[Sheet1].[product_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F703EE-366D-459B-810D-9A919E8D6A68}" sourceName="[Sheet1].[region]">
  <pivotTables>
    <pivotTable tabId="1" name="PivotTable1"/>
    <pivotTable tabId="1" name="PivotTable3"/>
    <pivotTable tabId="1" name="PivotTable4"/>
    <pivotTable tabId="1" name="PivotTable6"/>
    <pivotTable tabId="1" name="PivotTable7"/>
  </pivotTables>
  <data>
    <olap pivotCacheId="1089608479">
      <levels count="2">
        <level uniqueName="[Sheet1].[region].[(All)]" sourceCaption="(All)" count="0"/>
        <level uniqueName="[Sheet1].[region].[region]" sourceCaption="region" count="5">
          <ranges>
            <range startItem="0">
              <i n="[Sheet1].[region].&amp;[Central]" c="Central"/>
              <i n="[Sheet1].[region].&amp;[East]" c="East"/>
              <i n="[Sheet1].[region].&amp;[North]" c="North"/>
              <i n="[Sheet1].[region].&amp;[South]" c="South"/>
              <i n="[Sheet1].[region].&amp;[West]" c="West"/>
            </range>
          </ranges>
        </level>
      </levels>
      <selections count="1">
        <selection n="[Sheet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F92EEE7B-AF26-49FD-94D9-B2CAE75C9658}" cache="Slicer_Years" caption="Years" columnCount="2" showCaption="0" level="1" style="SlicerStyleDark1" rowHeight="247650"/>
  <slicer name="Month Name" xr10:uid="{BB1A2753-67FF-48CA-A025-1DF37519E50D}" cache="Slicer_Month_Name" caption="Month Name" startItem="4" columnCount="4" showCaption="0" level="1" style="SlicerStyleDark1" rowHeight="247650"/>
  <slicer name="payment_method 1" xr10:uid="{D9FFF7DD-61D5-4099-BE58-DC7F83CCFD2D}" cache="Slicer_payment_method" caption="payment_method" columnCount="2" showCaption="0" level="1" style="SlicerStyleDark1" rowHeight="247650"/>
  <slicer name="product_category 1" xr10:uid="{7E2AB6F7-9C9C-4204-B2ED-F407B2E0316F}" cache="Slicer_product_category" caption="product_category" columnCount="2" showCaption="0" level="1" style="SlicerStyleDark1" rowHeight="247650"/>
  <slicer name="region 1" xr10:uid="{B684EE6A-8592-448A-8455-7E3C25A7DF5F}" cache="Slicer_region" caption="region" startItem="2" columnCount="2" showCaption="0"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63CB-0CD0-49F7-8EF0-5374C7DDE3CE}">
  <dimension ref="A1"/>
  <sheetViews>
    <sheetView showGridLines="0" tabSelected="1" workbookViewId="0">
      <selection activeCell="U13" sqref="U13"/>
    </sheetView>
  </sheetViews>
  <sheetFormatPr defaultRowHeight="14.4" x14ac:dyDescent="0.3"/>
  <cols>
    <col min="2" max="2" width="6" bestFit="1" customWidth="1"/>
    <col min="3" max="3" width="5.218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FB03-4A9A-4E27-82DB-175D1F5C59B3}">
  <dimension ref="A1:K31"/>
  <sheetViews>
    <sheetView topLeftCell="A8" workbookViewId="0">
      <selection activeCell="B29" sqref="B29"/>
    </sheetView>
  </sheetViews>
  <sheetFormatPr defaultRowHeight="14.4" x14ac:dyDescent="0.3"/>
  <cols>
    <col min="1" max="1" width="14.5546875" bestFit="1" customWidth="1"/>
    <col min="2" max="2" width="10" bestFit="1" customWidth="1"/>
    <col min="3" max="3" width="17.88671875" bestFit="1" customWidth="1"/>
    <col min="4" max="4" width="10.5546875" bestFit="1" customWidth="1"/>
    <col min="5" max="5" width="10" bestFit="1" customWidth="1"/>
    <col min="6" max="6" width="19.77734375" bestFit="1" customWidth="1"/>
    <col min="7" max="7" width="10.5546875" bestFit="1" customWidth="1"/>
    <col min="8" max="8" width="10" bestFit="1" customWidth="1"/>
    <col min="9" max="9" width="14.5546875" bestFit="1" customWidth="1"/>
    <col min="10" max="11" width="10" bestFit="1" customWidth="1"/>
  </cols>
  <sheetData>
    <row r="1" spans="1:11" x14ac:dyDescent="0.3">
      <c r="A1" t="s">
        <v>17</v>
      </c>
      <c r="B1" t="s">
        <v>15</v>
      </c>
      <c r="C1" t="s">
        <v>18</v>
      </c>
      <c r="D1" t="s">
        <v>19</v>
      </c>
      <c r="E1" t="s">
        <v>20</v>
      </c>
      <c r="F1" t="s">
        <v>21</v>
      </c>
      <c r="G1" t="s">
        <v>22</v>
      </c>
      <c r="H1" t="s">
        <v>16</v>
      </c>
      <c r="I1" t="s">
        <v>23</v>
      </c>
      <c r="J1" t="s">
        <v>13</v>
      </c>
      <c r="K1" t="s">
        <v>14</v>
      </c>
    </row>
    <row r="2" spans="1:11" x14ac:dyDescent="0.3">
      <c r="A2" s="3">
        <v>0.1873810560998268</v>
      </c>
      <c r="B2" s="8">
        <v>4200</v>
      </c>
      <c r="C2" s="7">
        <v>62921.382033333328</v>
      </c>
      <c r="D2" s="4">
        <v>0.14571428571428571</v>
      </c>
      <c r="E2" s="3">
        <v>0.20213809523809453</v>
      </c>
      <c r="F2" s="5">
        <v>5.6397619047619045</v>
      </c>
      <c r="G2" s="8">
        <v>3.0164285714285715</v>
      </c>
      <c r="H2" s="8">
        <v>30935</v>
      </c>
      <c r="I2" s="8">
        <v>4112</v>
      </c>
      <c r="J2" s="6">
        <v>264269804.53999999</v>
      </c>
      <c r="K2" s="6">
        <v>49519155.07</v>
      </c>
    </row>
    <row r="7" spans="1:11" x14ac:dyDescent="0.3">
      <c r="A7" s="1" t="s">
        <v>29</v>
      </c>
      <c r="B7" t="s">
        <v>13</v>
      </c>
      <c r="D7" s="1" t="s">
        <v>29</v>
      </c>
      <c r="E7" t="s">
        <v>13</v>
      </c>
      <c r="G7" s="1" t="s">
        <v>29</v>
      </c>
      <c r="H7" t="s">
        <v>13</v>
      </c>
    </row>
    <row r="8" spans="1:11" x14ac:dyDescent="0.3">
      <c r="A8" s="2" t="s">
        <v>24</v>
      </c>
      <c r="B8" s="6">
        <v>40673510.539999999</v>
      </c>
      <c r="D8" s="2" t="s">
        <v>1</v>
      </c>
      <c r="E8" s="6">
        <v>32958284.199999999</v>
      </c>
      <c r="G8" s="2" t="s">
        <v>40</v>
      </c>
      <c r="H8" s="6">
        <v>28569749.5</v>
      </c>
    </row>
    <row r="9" spans="1:11" x14ac:dyDescent="0.3">
      <c r="A9" s="2" t="s">
        <v>25</v>
      </c>
      <c r="B9" s="6">
        <v>48501551.850000001</v>
      </c>
      <c r="D9" s="2" t="s">
        <v>2</v>
      </c>
      <c r="E9" s="6">
        <v>16621823.48</v>
      </c>
      <c r="G9" s="2" t="s">
        <v>37</v>
      </c>
      <c r="H9" s="6">
        <v>20597017.920000002</v>
      </c>
    </row>
    <row r="10" spans="1:11" x14ac:dyDescent="0.3">
      <c r="A10" s="2" t="s">
        <v>26</v>
      </c>
      <c r="B10" s="6">
        <v>53613030.159999996</v>
      </c>
      <c r="D10" s="2" t="s">
        <v>3</v>
      </c>
      <c r="E10" s="6">
        <v>18552353.550000001</v>
      </c>
      <c r="G10" s="2" t="s">
        <v>38</v>
      </c>
      <c r="H10" s="6">
        <v>19862008.190000001</v>
      </c>
    </row>
    <row r="11" spans="1:11" x14ac:dyDescent="0.3">
      <c r="A11" s="2" t="s">
        <v>27</v>
      </c>
      <c r="B11" s="6">
        <v>73519093.829999998</v>
      </c>
      <c r="D11" s="2" t="s">
        <v>4</v>
      </c>
      <c r="E11" s="6">
        <v>28370148.100000001</v>
      </c>
      <c r="G11" s="2" t="s">
        <v>39</v>
      </c>
      <c r="H11" s="6">
        <v>13621666.84</v>
      </c>
    </row>
    <row r="12" spans="1:11" x14ac:dyDescent="0.3">
      <c r="A12" s="2" t="s">
        <v>28</v>
      </c>
      <c r="B12" s="6">
        <v>47962618.159999996</v>
      </c>
      <c r="D12" s="2" t="s">
        <v>5</v>
      </c>
      <c r="E12" s="6">
        <v>24395339.77</v>
      </c>
      <c r="G12" s="2" t="s">
        <v>41</v>
      </c>
      <c r="H12" s="6">
        <v>13476961.279999999</v>
      </c>
    </row>
    <row r="13" spans="1:11" x14ac:dyDescent="0.3">
      <c r="A13" s="2" t="s">
        <v>0</v>
      </c>
      <c r="B13" s="6">
        <v>264269804.53999999</v>
      </c>
      <c r="D13" s="2" t="s">
        <v>6</v>
      </c>
      <c r="E13" s="6">
        <v>24853621.530000001</v>
      </c>
      <c r="G13" s="2" t="s">
        <v>0</v>
      </c>
      <c r="H13" s="6">
        <v>96127403.730000004</v>
      </c>
    </row>
    <row r="14" spans="1:11" x14ac:dyDescent="0.3">
      <c r="D14" s="2" t="s">
        <v>7</v>
      </c>
      <c r="E14" s="6">
        <v>27063108.960000001</v>
      </c>
    </row>
    <row r="15" spans="1:11" x14ac:dyDescent="0.3">
      <c r="D15" s="2" t="s">
        <v>8</v>
      </c>
      <c r="E15" s="6">
        <v>27690111.359999999</v>
      </c>
    </row>
    <row r="16" spans="1:11" x14ac:dyDescent="0.3">
      <c r="D16" s="2" t="s">
        <v>9</v>
      </c>
      <c r="E16" s="6">
        <v>19418102.449999999</v>
      </c>
    </row>
    <row r="17" spans="1:5" x14ac:dyDescent="0.3">
      <c r="D17" s="2" t="s">
        <v>10</v>
      </c>
      <c r="E17" s="6">
        <v>15961048.84</v>
      </c>
    </row>
    <row r="18" spans="1:5" x14ac:dyDescent="0.3">
      <c r="D18" s="2" t="s">
        <v>11</v>
      </c>
      <c r="E18" s="6">
        <v>14595267.27</v>
      </c>
    </row>
    <row r="19" spans="1:5" x14ac:dyDescent="0.3">
      <c r="D19" s="2" t="s">
        <v>12</v>
      </c>
      <c r="E19" s="6">
        <v>13790595.029999999</v>
      </c>
    </row>
    <row r="20" spans="1:5" x14ac:dyDescent="0.3">
      <c r="D20" s="2" t="s">
        <v>0</v>
      </c>
      <c r="E20" s="6">
        <v>264269804.53999999</v>
      </c>
    </row>
    <row r="24" spans="1:5" x14ac:dyDescent="0.3">
      <c r="A24" s="1" t="s">
        <v>30</v>
      </c>
      <c r="B24" t="s">
        <v>13</v>
      </c>
    </row>
    <row r="25" spans="1:5" x14ac:dyDescent="0.3">
      <c r="A25" s="2" t="s">
        <v>31</v>
      </c>
      <c r="B25" s="6">
        <v>42028806.539999999</v>
      </c>
    </row>
    <row r="26" spans="1:5" x14ac:dyDescent="0.3">
      <c r="A26" s="2" t="s">
        <v>32</v>
      </c>
      <c r="B26" s="6">
        <v>38546950.520000003</v>
      </c>
    </row>
    <row r="27" spans="1:5" x14ac:dyDescent="0.3">
      <c r="A27" s="2" t="s">
        <v>33</v>
      </c>
      <c r="B27" s="6">
        <v>41702317.549999997</v>
      </c>
    </row>
    <row r="28" spans="1:5" x14ac:dyDescent="0.3">
      <c r="A28" s="2" t="s">
        <v>34</v>
      </c>
      <c r="B28" s="6">
        <v>63217956.299999997</v>
      </c>
    </row>
    <row r="29" spans="1:5" x14ac:dyDescent="0.3">
      <c r="A29" s="2" t="s">
        <v>35</v>
      </c>
      <c r="B29" s="6">
        <v>39547196.07</v>
      </c>
    </row>
    <row r="30" spans="1:5" x14ac:dyDescent="0.3">
      <c r="A30" s="2" t="s">
        <v>36</v>
      </c>
      <c r="B30" s="6">
        <v>39226577.560000002</v>
      </c>
    </row>
    <row r="31" spans="1:5" x14ac:dyDescent="0.3">
      <c r="A31" s="2" t="s">
        <v>0</v>
      </c>
      <c r="B31" s="6">
        <v>264269804.53999999</v>
      </c>
    </row>
  </sheetData>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F54C5AF-848A-4265-B0E2-D1A8FBD226CE}">
  <ds:schemaRefs/>
</ds:datastoreItem>
</file>

<file path=customXml/itemProps2.xml><?xml version="1.0" encoding="utf-8"?>
<ds:datastoreItem xmlns:ds="http://schemas.openxmlformats.org/officeDocument/2006/customXml" ds:itemID="{DC81337F-A15C-4542-AD9D-8582A20F0173}">
  <ds:schemaRefs/>
</ds:datastoreItem>
</file>

<file path=customXml/itemProps3.xml><?xml version="1.0" encoding="utf-8"?>
<ds:datastoreItem xmlns:ds="http://schemas.openxmlformats.org/officeDocument/2006/customXml" ds:itemID="{4E77721F-9677-4E86-9F30-6896DB42C75A}">
  <ds:schemaRefs/>
</ds:datastoreItem>
</file>

<file path=customXml/itemProps4.xml><?xml version="1.0" encoding="utf-8"?>
<ds:datastoreItem xmlns:ds="http://schemas.openxmlformats.org/officeDocument/2006/customXml" ds:itemID="{F7512FE3-3FA9-4F17-8ECC-D6B1235741CF}">
  <ds:schemaRefs/>
</ds:datastoreItem>
</file>

<file path=customXml/itemProps5.xml><?xml version="1.0" encoding="utf-8"?>
<ds:datastoreItem xmlns:ds="http://schemas.openxmlformats.org/officeDocument/2006/customXml" ds:itemID="{3AD9CE3E-6F64-45AD-9A55-EE447D354E09}">
  <ds:schemaRefs/>
</ds:datastoreItem>
</file>

<file path=customXml/itemProps6.xml><?xml version="1.0" encoding="utf-8"?>
<ds:datastoreItem xmlns:ds="http://schemas.openxmlformats.org/officeDocument/2006/customXml" ds:itemID="{9596AB63-BDAA-4A43-9239-0A7FFE7A3BBC}">
  <ds:schemaRefs/>
</ds:datastoreItem>
</file>

<file path=customXml/itemProps7.xml><?xml version="1.0" encoding="utf-8"?>
<ds:datastoreItem xmlns:ds="http://schemas.openxmlformats.org/officeDocument/2006/customXml" ds:itemID="{83148687-D1C0-4FC8-B334-947BB48172FF}">
  <ds:schemaRefs/>
</ds:datastoreItem>
</file>

<file path=customXml/itemProps8.xml><?xml version="1.0" encoding="utf-8"?>
<ds:datastoreItem xmlns:ds="http://schemas.openxmlformats.org/officeDocument/2006/customXml" ds:itemID="{20F2E0F9-4AB1-4DAD-9EA4-8341A420A09B}">
  <ds:schemaRefs/>
</ds:datastoreItem>
</file>

<file path=customXml/itemProps9.xml><?xml version="1.0" encoding="utf-8"?>
<ds:datastoreItem xmlns:ds="http://schemas.openxmlformats.org/officeDocument/2006/customXml" ds:itemID="{A0F1900B-0C9E-4EAF-8118-5B0225111172}">
  <ds:schemaRefs/>
</ds:datastoreItem>
</file>

<file path=customXml/itemProps10.xml><?xml version="1.0" encoding="utf-8"?>
<ds:datastoreItem xmlns:ds="http://schemas.openxmlformats.org/officeDocument/2006/customXml" ds:itemID="{A82F46D6-6869-4D94-8F50-BF23556AABA0}">
  <ds:schemaRefs/>
</ds:datastoreItem>
</file>

<file path=customXml/itemProps11.xml><?xml version="1.0" encoding="utf-8"?>
<ds:datastoreItem xmlns:ds="http://schemas.openxmlformats.org/officeDocument/2006/customXml" ds:itemID="{515C2A1B-53FA-4AC9-A9F1-6975204268B5}">
  <ds:schemaRefs/>
</ds:datastoreItem>
</file>

<file path=customXml/itemProps12.xml><?xml version="1.0" encoding="utf-8"?>
<ds:datastoreItem xmlns:ds="http://schemas.openxmlformats.org/officeDocument/2006/customXml" ds:itemID="{E4D953AB-C8CF-4DC7-8F2F-70F7EB993A6E}">
  <ds:schemaRefs/>
</ds:datastoreItem>
</file>

<file path=customXml/itemProps13.xml><?xml version="1.0" encoding="utf-8"?>
<ds:datastoreItem xmlns:ds="http://schemas.openxmlformats.org/officeDocument/2006/customXml" ds:itemID="{D0A6F98C-7C8B-40F7-B155-94B77FEF6B7B}">
  <ds:schemaRefs>
    <ds:schemaRef ds:uri="http://schemas.microsoft.com/DataMashup"/>
  </ds:schemaRefs>
</ds:datastoreItem>
</file>

<file path=customXml/itemProps14.xml><?xml version="1.0" encoding="utf-8"?>
<ds:datastoreItem xmlns:ds="http://schemas.openxmlformats.org/officeDocument/2006/customXml" ds:itemID="{662C6BFF-F28E-4B5E-A4ED-C7EA9BC2B089}">
  <ds:schemaRefs/>
</ds:datastoreItem>
</file>

<file path=customXml/itemProps15.xml><?xml version="1.0" encoding="utf-8"?>
<ds:datastoreItem xmlns:ds="http://schemas.openxmlformats.org/officeDocument/2006/customXml" ds:itemID="{65D261E8-E695-48E5-A2E7-0E7C5596015F}">
  <ds:schemaRefs/>
</ds:datastoreItem>
</file>

<file path=customXml/itemProps16.xml><?xml version="1.0" encoding="utf-8"?>
<ds:datastoreItem xmlns:ds="http://schemas.openxmlformats.org/officeDocument/2006/customXml" ds:itemID="{91CF88E4-4AB8-4A2F-8720-7365A7302800}">
  <ds:schemaRefs/>
</ds:datastoreItem>
</file>

<file path=customXml/itemProps17.xml><?xml version="1.0" encoding="utf-8"?>
<ds:datastoreItem xmlns:ds="http://schemas.openxmlformats.org/officeDocument/2006/customXml" ds:itemID="{FE15A607-0883-4CBA-8E92-1B8E91659F3B}">
  <ds:schemaRefs/>
</ds:datastoreItem>
</file>

<file path=customXml/itemProps18.xml><?xml version="1.0" encoding="utf-8"?>
<ds:datastoreItem xmlns:ds="http://schemas.openxmlformats.org/officeDocument/2006/customXml" ds:itemID="{D95185C1-91F4-45A9-BF6E-4B795277026C}">
  <ds:schemaRefs/>
</ds:datastoreItem>
</file>

<file path=customXml/itemProps19.xml><?xml version="1.0" encoding="utf-8"?>
<ds:datastoreItem xmlns:ds="http://schemas.openxmlformats.org/officeDocument/2006/customXml" ds:itemID="{AB7FFBE4-47B0-44F0-AA6A-88204A97B24A}">
  <ds:schemaRefs/>
</ds:datastoreItem>
</file>

<file path=customXml/itemProps20.xml><?xml version="1.0" encoding="utf-8"?>
<ds:datastoreItem xmlns:ds="http://schemas.openxmlformats.org/officeDocument/2006/customXml" ds:itemID="{92CE0248-C611-4CA0-95FD-923134F0EDE1}">
  <ds:schemaRefs/>
</ds:datastoreItem>
</file>

<file path=customXml/itemProps21.xml><?xml version="1.0" encoding="utf-8"?>
<ds:datastoreItem xmlns:ds="http://schemas.openxmlformats.org/officeDocument/2006/customXml" ds:itemID="{EC8BB31C-96FC-44BD-9BD0-E41ACD8632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 Shaikh</dc:creator>
  <cp:lastModifiedBy>Salman Shaikh</cp:lastModifiedBy>
  <dcterms:created xsi:type="dcterms:W3CDTF">2026-08-29T07:52:44Z</dcterms:created>
  <dcterms:modified xsi:type="dcterms:W3CDTF">2026-09-02T12:11:50Z</dcterms:modified>
</cp:coreProperties>
</file>